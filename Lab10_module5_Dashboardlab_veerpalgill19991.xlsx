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F699187B123CED7/Desktop/Data Analystics skill tools/EXCEL/"/>
    </mc:Choice>
  </mc:AlternateContent>
  <xr:revisionPtr revIDLastSave="0" documentId="8_{B9CB920E-D69F-49C3-B304-E4EE07D1EE70}" xr6:coauthVersionLast="47" xr6:coauthVersionMax="47" xr10:uidLastSave="{00000000-0000-0000-0000-000000000000}"/>
  <bookViews>
    <workbookView xWindow="-108" yWindow="-108" windowWidth="23256" windowHeight="12456" xr2:uid="{00000000-000D-0000-FFFF-FFFF00000000}"/>
  </bookViews>
  <sheets>
    <sheet name="Pivot Analysis" sheetId="2" r:id="rId1"/>
    <sheet name="Dashboard" sheetId="3" r:id="rId2"/>
    <sheet name="sales data" sheetId="1" r:id="rId3"/>
  </sheets>
  <definedNames>
    <definedName name="Slicer_Category">#N/A</definedName>
    <definedName name="Slicer_Payment_Mod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 i="1" l="1"/>
  <c r="M7" i="1"/>
  <c r="M5" i="1"/>
</calcChain>
</file>

<file path=xl/sharedStrings.xml><?xml version="1.0" encoding="utf-8"?>
<sst xmlns="http://schemas.openxmlformats.org/spreadsheetml/2006/main" count="398" uniqueCount="145">
  <si>
    <t>Order_ID</t>
  </si>
  <si>
    <t>Order_Date</t>
  </si>
  <si>
    <t>Region</t>
  </si>
  <si>
    <t>Category</t>
  </si>
  <si>
    <t>Product_Name</t>
  </si>
  <si>
    <t>Salesperson</t>
  </si>
  <si>
    <t>Payment_Mode</t>
  </si>
  <si>
    <t>Quantity</t>
  </si>
  <si>
    <t>Sales_Amount</t>
  </si>
  <si>
    <t>Profit</t>
  </si>
  <si>
    <t>ORD-1002</t>
  </si>
  <si>
    <t>01-14-2026</t>
  </si>
  <si>
    <t>North</t>
  </si>
  <si>
    <t>Electronics</t>
  </si>
  <si>
    <t>Laptop</t>
  </si>
  <si>
    <t>Emily</t>
  </si>
  <si>
    <t>Card</t>
  </si>
  <si>
    <t>ORD-1003</t>
  </si>
  <si>
    <t>04-10-2026</t>
  </si>
  <si>
    <t>South</t>
  </si>
  <si>
    <t>Home Decor</t>
  </si>
  <si>
    <t>Tennis Racket</t>
  </si>
  <si>
    <t>Michael</t>
  </si>
  <si>
    <t>ORD-1004</t>
  </si>
  <si>
    <t>02-23-2026</t>
  </si>
  <si>
    <t>Clothing</t>
  </si>
  <si>
    <t>Jeans</t>
  </si>
  <si>
    <t>Sophia</t>
  </si>
  <si>
    <t>ORD-1005</t>
  </si>
  <si>
    <t>01-26-2026</t>
  </si>
  <si>
    <t>West</t>
  </si>
  <si>
    <t>Sports</t>
  </si>
  <si>
    <t>John</t>
  </si>
  <si>
    <t>Cash</t>
  </si>
  <si>
    <t>ORD-1006</t>
  </si>
  <si>
    <t>03-06-2026</t>
  </si>
  <si>
    <t>Furniture</t>
  </si>
  <si>
    <t>Headphones</t>
  </si>
  <si>
    <t>Olivia</t>
  </si>
  <si>
    <t>ORD-1007</t>
  </si>
  <si>
    <t>03-05-2026</t>
  </si>
  <si>
    <t>ORD-1008</t>
  </si>
  <si>
    <t>04-11-2026</t>
  </si>
  <si>
    <t>Table Lamp</t>
  </si>
  <si>
    <t>Online</t>
  </si>
  <si>
    <t>ORD-1009</t>
  </si>
  <si>
    <t>04-21-2026</t>
  </si>
  <si>
    <t>Basketball</t>
  </si>
  <si>
    <t>ORD-1010</t>
  </si>
  <si>
    <t>03-18-2026</t>
  </si>
  <si>
    <t>ORD-1011</t>
  </si>
  <si>
    <t>01-05-2026</t>
  </si>
  <si>
    <t>David</t>
  </si>
  <si>
    <t>ORD-1012</t>
  </si>
  <si>
    <t>02-24-2026</t>
  </si>
  <si>
    <t>ORD-1013</t>
  </si>
  <si>
    <t>03-10-2026</t>
  </si>
  <si>
    <t>ORD-1014</t>
  </si>
  <si>
    <t>04-28-2026</t>
  </si>
  <si>
    <t>Dining Table</t>
  </si>
  <si>
    <t>ORD-1015</t>
  </si>
  <si>
    <t>03-12-2026</t>
  </si>
  <si>
    <t>East</t>
  </si>
  <si>
    <t>ORD-1016</t>
  </si>
  <si>
    <t>01-20-2026</t>
  </si>
  <si>
    <t>Wall Clock</t>
  </si>
  <si>
    <t>ORD-1017</t>
  </si>
  <si>
    <t>04-15-2026</t>
  </si>
  <si>
    <t>ORD-1018</t>
  </si>
  <si>
    <t>01-23-2026</t>
  </si>
  <si>
    <t>T-Shirt</t>
  </si>
  <si>
    <t>ORD-1019</t>
  </si>
  <si>
    <t>ORD-1020</t>
  </si>
  <si>
    <t>01-13-2026</t>
  </si>
  <si>
    <t>ORD-1021</t>
  </si>
  <si>
    <t>03-26-2026</t>
  </si>
  <si>
    <t>ORD-1022</t>
  </si>
  <si>
    <t>ORD-1023</t>
  </si>
  <si>
    <t>02-27-2026</t>
  </si>
  <si>
    <t>ORD-1024</t>
  </si>
  <si>
    <t>01-02-2026</t>
  </si>
  <si>
    <t>ORD-1025</t>
  </si>
  <si>
    <t>01-25-2026</t>
  </si>
  <si>
    <t>ORD-1026</t>
  </si>
  <si>
    <t>01-11-2026</t>
  </si>
  <si>
    <t>Office Chair</t>
  </si>
  <si>
    <t>ORD-1027</t>
  </si>
  <si>
    <t>01-01-2026</t>
  </si>
  <si>
    <t>ORD-1028</t>
  </si>
  <si>
    <t>02-01-2026</t>
  </si>
  <si>
    <t>ORD-1029</t>
  </si>
  <si>
    <t>03-16-2026</t>
  </si>
  <si>
    <t>ORD-1030</t>
  </si>
  <si>
    <t>02-14-2026</t>
  </si>
  <si>
    <t>ORD-1031</t>
  </si>
  <si>
    <t>01-21-2026</t>
  </si>
  <si>
    <t>ORD-1032</t>
  </si>
  <si>
    <t>ORD-1033</t>
  </si>
  <si>
    <t>05-01-2026</t>
  </si>
  <si>
    <t>ORD-1034</t>
  </si>
  <si>
    <t>03-23-2026</t>
  </si>
  <si>
    <t>ORD-1035</t>
  </si>
  <si>
    <t>04-07-2026</t>
  </si>
  <si>
    <t>ORD-1036</t>
  </si>
  <si>
    <t>04-27-2026</t>
  </si>
  <si>
    <t>ORD-1037</t>
  </si>
  <si>
    <t>03-07-2026</t>
  </si>
  <si>
    <t>ORD-1038</t>
  </si>
  <si>
    <t>01-24-2026</t>
  </si>
  <si>
    <t>ORD-1039</t>
  </si>
  <si>
    <t>04-18-2026</t>
  </si>
  <si>
    <t>ORD-1040</t>
  </si>
  <si>
    <t>01-03-2026</t>
  </si>
  <si>
    <t>ORD-1041</t>
  </si>
  <si>
    <t>ORD-1042</t>
  </si>
  <si>
    <t>01-06-2026</t>
  </si>
  <si>
    <t>ORD-1043</t>
  </si>
  <si>
    <t>04-16-2026</t>
  </si>
  <si>
    <t>ORD-1044</t>
  </si>
  <si>
    <t>04-06-2026</t>
  </si>
  <si>
    <t>ORD-1045</t>
  </si>
  <si>
    <t>ORD-1046</t>
  </si>
  <si>
    <t>02-09-2026</t>
  </si>
  <si>
    <t>ORD-1047</t>
  </si>
  <si>
    <t>ORD-1048</t>
  </si>
  <si>
    <t>ORD-1049</t>
  </si>
  <si>
    <t>04-09-2026</t>
  </si>
  <si>
    <t>ORD-1050</t>
  </si>
  <si>
    <t>ORD-1051</t>
  </si>
  <si>
    <t>04-22-2026</t>
  </si>
  <si>
    <t>others</t>
  </si>
  <si>
    <t>Unknown</t>
  </si>
  <si>
    <t>Total Sales</t>
  </si>
  <si>
    <t>Total Profit</t>
  </si>
  <si>
    <t>Total Quanitity Solid</t>
  </si>
  <si>
    <t>KPI</t>
  </si>
  <si>
    <t>Row Labels</t>
  </si>
  <si>
    <t>Grand Total</t>
  </si>
  <si>
    <t>Sum of Sales_Amount</t>
  </si>
  <si>
    <t>Sales By Region</t>
  </si>
  <si>
    <t>Profit By Category</t>
  </si>
  <si>
    <t>Sum of Profit</t>
  </si>
  <si>
    <t>Quanitity by payment</t>
  </si>
  <si>
    <t>Sum of Quantity</t>
  </si>
  <si>
    <t>Sales By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</si>
</sst>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F800]dddd\,\ mmmm\ dd\,\ yyyy"/>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0" fontId="1" fillId="0" borderId="0" xfId="0" applyFont="1"/>
    <xf numFmtId="164" fontId="1" fillId="0" borderId="0" xfId="1" applyNumberFormat="1" applyFont="1"/>
    <xf numFmtId="164" fontId="0" fillId="0" borderId="0" xfId="1" applyNumberFormat="1" applyFont="1"/>
    <xf numFmtId="0" fontId="0" fillId="0" borderId="1" xfId="0" applyBorder="1"/>
    <xf numFmtId="164" fontId="0" fillId="0" borderId="1" xfId="0" applyNumberFormat="1" applyBorder="1"/>
    <xf numFmtId="164" fontId="0" fillId="0" borderId="1" xfId="1" applyNumberFormat="1" applyFont="1" applyBorder="1"/>
    <xf numFmtId="0" fontId="0" fillId="0" borderId="0" xfId="0" pivotButton="1"/>
    <xf numFmtId="0" fontId="0" fillId="0" borderId="0" xfId="0" applyAlignment="1">
      <alignment horizontal="left"/>
    </xf>
    <xf numFmtId="0" fontId="0" fillId="0" borderId="0" xfId="0" applyNumberFormat="1"/>
    <xf numFmtId="165" fontId="1" fillId="0" borderId="0" xfId="0" applyNumberFormat="1" applyFont="1"/>
    <xf numFmtId="165" fontId="0" fillId="0" borderId="0" xfId="0" applyNumberFormat="1"/>
    <xf numFmtId="0" fontId="3" fillId="3" borderId="0" xfId="0" applyFont="1" applyFill="1" applyAlignment="1">
      <alignment horizontal="center"/>
    </xf>
    <xf numFmtId="0" fontId="0" fillId="3" borderId="0" xfId="0" applyFill="1" applyAlignment="1">
      <alignment horizontal="center"/>
    </xf>
    <xf numFmtId="0" fontId="4" fillId="2" borderId="1" xfId="0" applyFont="1" applyFill="1" applyBorder="1" applyAlignment="1">
      <alignment horizontal="center"/>
    </xf>
    <xf numFmtId="0" fontId="0" fillId="2" borderId="1" xfId="0" applyFill="1" applyBorder="1" applyAlignment="1">
      <alignment horizontal="center"/>
    </xf>
  </cellXfs>
  <cellStyles count="2">
    <cellStyle name="Currency" xfId="1" builtinId="4"/>
    <cellStyle name="Normal" xfId="0" builtinId="0"/>
  </cellStyles>
  <dxfs count="3">
    <dxf>
      <numFmt numFmtId="164" formatCode="_(&quot;$&quot;* #,##0_);_(&quot;$&quot;* \(#,##0\);_(&quot;$&quot;* &quot;-&quot;??_);_(@_)"/>
    </dxf>
    <dxf>
      <numFmt numFmtId="165" formatCode="[$-F800]dddd\,\ mmmm\ dd\,\ yyyy"/>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Analysis'!$A$4:$A$8</c:f>
              <c:strCache>
                <c:ptCount val="4"/>
                <c:pt idx="0">
                  <c:v>North</c:v>
                </c:pt>
                <c:pt idx="1">
                  <c:v>South</c:v>
                </c:pt>
                <c:pt idx="2">
                  <c:v>West</c:v>
                </c:pt>
                <c:pt idx="3">
                  <c:v>East</c:v>
                </c:pt>
              </c:strCache>
            </c:strRef>
          </c:cat>
          <c:val>
            <c:numRef>
              <c:f>'Pivot Analysis'!$B$4:$B$8</c:f>
              <c:numCache>
                <c:formatCode>General</c:formatCode>
                <c:ptCount val="4"/>
                <c:pt idx="0">
                  <c:v>31097</c:v>
                </c:pt>
                <c:pt idx="1">
                  <c:v>25729</c:v>
                </c:pt>
                <c:pt idx="2">
                  <c:v>21480</c:v>
                </c:pt>
                <c:pt idx="3">
                  <c:v>15553</c:v>
                </c:pt>
              </c:numCache>
            </c:numRef>
          </c:val>
          <c:extLst>
            <c:ext xmlns:c16="http://schemas.microsoft.com/office/drawing/2014/chart" uri="{C3380CC4-5D6E-409C-BE32-E72D297353CC}">
              <c16:uniqueId val="{00000000-6418-4A81-9BDF-E1EE7A776CAB}"/>
            </c:ext>
          </c:extLst>
        </c:ser>
        <c:dLbls>
          <c:showLegendKey val="0"/>
          <c:showVal val="0"/>
          <c:showCatName val="0"/>
          <c:showSerName val="0"/>
          <c:showPercent val="0"/>
          <c:showBubbleSize val="0"/>
        </c:dLbls>
        <c:gapWidth val="219"/>
        <c:overlap val="-27"/>
        <c:axId val="1885547903"/>
        <c:axId val="1885545823"/>
      </c:barChart>
      <c:catAx>
        <c:axId val="188554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45823"/>
        <c:crosses val="autoZero"/>
        <c:auto val="1"/>
        <c:lblAlgn val="ctr"/>
        <c:lblOffset val="100"/>
        <c:noMultiLvlLbl val="0"/>
      </c:catAx>
      <c:valAx>
        <c:axId val="188554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Analysis'!$E$3</c:f>
              <c:strCache>
                <c:ptCount val="1"/>
                <c:pt idx="0">
                  <c:v>Total</c:v>
                </c:pt>
              </c:strCache>
            </c:strRef>
          </c:tx>
          <c:spPr>
            <a:solidFill>
              <a:schemeClr val="accent1"/>
            </a:solidFill>
            <a:ln>
              <a:noFill/>
            </a:ln>
            <a:effectLst/>
          </c:spPr>
          <c:invertIfNegative val="0"/>
          <c:cat>
            <c:strRef>
              <c:f>'Pivot Analysis'!$D$4:$D$10</c:f>
              <c:strCache>
                <c:ptCount val="6"/>
                <c:pt idx="0">
                  <c:v>Clothing</c:v>
                </c:pt>
                <c:pt idx="1">
                  <c:v>Electronics</c:v>
                </c:pt>
                <c:pt idx="2">
                  <c:v>Furniture</c:v>
                </c:pt>
                <c:pt idx="3">
                  <c:v>Home Decor</c:v>
                </c:pt>
                <c:pt idx="4">
                  <c:v>others</c:v>
                </c:pt>
                <c:pt idx="5">
                  <c:v>Sports</c:v>
                </c:pt>
              </c:strCache>
            </c:strRef>
          </c:cat>
          <c:val>
            <c:numRef>
              <c:f>'Pivot Analysis'!$E$4:$E$10</c:f>
              <c:numCache>
                <c:formatCode>General</c:formatCode>
                <c:ptCount val="6"/>
                <c:pt idx="0">
                  <c:v>3642.19</c:v>
                </c:pt>
                <c:pt idx="1">
                  <c:v>3760.8100000000004</c:v>
                </c:pt>
                <c:pt idx="2">
                  <c:v>1686.8700000000001</c:v>
                </c:pt>
                <c:pt idx="3">
                  <c:v>3297.0200000000004</c:v>
                </c:pt>
                <c:pt idx="4">
                  <c:v>309.81</c:v>
                </c:pt>
                <c:pt idx="5">
                  <c:v>2559.3300000000004</c:v>
                </c:pt>
              </c:numCache>
            </c:numRef>
          </c:val>
          <c:extLst>
            <c:ext xmlns:c16="http://schemas.microsoft.com/office/drawing/2014/chart" uri="{C3380CC4-5D6E-409C-BE32-E72D297353CC}">
              <c16:uniqueId val="{00000000-774D-4265-933B-072AF7882DC6}"/>
            </c:ext>
          </c:extLst>
        </c:ser>
        <c:dLbls>
          <c:showLegendKey val="0"/>
          <c:showVal val="0"/>
          <c:showCatName val="0"/>
          <c:showSerName val="0"/>
          <c:showPercent val="0"/>
          <c:showBubbleSize val="0"/>
        </c:dLbls>
        <c:gapWidth val="219"/>
        <c:axId val="1557445679"/>
        <c:axId val="1557436527"/>
      </c:barChart>
      <c:catAx>
        <c:axId val="155744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36527"/>
        <c:crosses val="autoZero"/>
        <c:auto val="1"/>
        <c:lblAlgn val="ctr"/>
        <c:lblOffset val="100"/>
        <c:noMultiLvlLbl val="0"/>
      </c:catAx>
      <c:valAx>
        <c:axId val="155743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4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05-4DD7-B6AE-38A32900C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05-4DD7-B6AE-38A32900C2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05-4DD7-B6AE-38A32900C2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Analysis'!$G$4:$G$7</c:f>
              <c:strCache>
                <c:ptCount val="3"/>
                <c:pt idx="0">
                  <c:v>Card</c:v>
                </c:pt>
                <c:pt idx="1">
                  <c:v>Cash</c:v>
                </c:pt>
                <c:pt idx="2">
                  <c:v>Online</c:v>
                </c:pt>
              </c:strCache>
            </c:strRef>
          </c:cat>
          <c:val>
            <c:numRef>
              <c:f>'Pivot Analysis'!$H$4:$H$7</c:f>
              <c:numCache>
                <c:formatCode>General</c:formatCode>
                <c:ptCount val="3"/>
                <c:pt idx="0">
                  <c:v>138</c:v>
                </c:pt>
                <c:pt idx="1">
                  <c:v>53</c:v>
                </c:pt>
                <c:pt idx="2">
                  <c:v>69</c:v>
                </c:pt>
              </c:numCache>
            </c:numRef>
          </c:val>
          <c:extLst>
            <c:ext xmlns:c16="http://schemas.microsoft.com/office/drawing/2014/chart" uri="{C3380CC4-5D6E-409C-BE32-E72D297353CC}">
              <c16:uniqueId val="{00000000-ABB7-4186-9B8B-379A2BC4E7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Analysis'!$J$4:$J$9</c:f>
              <c:strCache>
                <c:ptCount val="5"/>
                <c:pt idx="0">
                  <c:v>Michael</c:v>
                </c:pt>
                <c:pt idx="1">
                  <c:v>Sophia</c:v>
                </c:pt>
                <c:pt idx="2">
                  <c:v>Olivia</c:v>
                </c:pt>
                <c:pt idx="3">
                  <c:v>David</c:v>
                </c:pt>
                <c:pt idx="4">
                  <c:v>John</c:v>
                </c:pt>
              </c:strCache>
            </c:strRef>
          </c:cat>
          <c:val>
            <c:numRef>
              <c:f>'Pivot Analysis'!$K$4:$K$9</c:f>
              <c:numCache>
                <c:formatCode>General</c:formatCode>
                <c:ptCount val="5"/>
                <c:pt idx="0">
                  <c:v>21477</c:v>
                </c:pt>
                <c:pt idx="1">
                  <c:v>19903</c:v>
                </c:pt>
                <c:pt idx="2">
                  <c:v>19543</c:v>
                </c:pt>
                <c:pt idx="3">
                  <c:v>14172</c:v>
                </c:pt>
                <c:pt idx="4">
                  <c:v>13848</c:v>
                </c:pt>
              </c:numCache>
            </c:numRef>
          </c:val>
          <c:extLst>
            <c:ext xmlns:c16="http://schemas.microsoft.com/office/drawing/2014/chart" uri="{C3380CC4-5D6E-409C-BE32-E72D297353CC}">
              <c16:uniqueId val="{00000000-AAC0-4AB6-8CAD-5CF47EC1C83D}"/>
            </c:ext>
          </c:extLst>
        </c:ser>
        <c:dLbls>
          <c:showLegendKey val="0"/>
          <c:showVal val="0"/>
          <c:showCatName val="0"/>
          <c:showSerName val="0"/>
          <c:showPercent val="0"/>
          <c:showBubbleSize val="0"/>
        </c:dLbls>
        <c:gapWidth val="182"/>
        <c:axId val="2036019343"/>
        <c:axId val="2036018511"/>
      </c:barChart>
      <c:catAx>
        <c:axId val="203601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18511"/>
        <c:crosses val="autoZero"/>
        <c:auto val="1"/>
        <c:lblAlgn val="ctr"/>
        <c:lblOffset val="100"/>
        <c:noMultiLvlLbl val="0"/>
      </c:catAx>
      <c:valAx>
        <c:axId val="2036018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1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Analysis'!$A$4:$A$8</c:f>
              <c:strCache>
                <c:ptCount val="4"/>
                <c:pt idx="0">
                  <c:v>North</c:v>
                </c:pt>
                <c:pt idx="1">
                  <c:v>South</c:v>
                </c:pt>
                <c:pt idx="2">
                  <c:v>West</c:v>
                </c:pt>
                <c:pt idx="3">
                  <c:v>East</c:v>
                </c:pt>
              </c:strCache>
            </c:strRef>
          </c:cat>
          <c:val>
            <c:numRef>
              <c:f>'Pivot Analysis'!$B$4:$B$8</c:f>
              <c:numCache>
                <c:formatCode>General</c:formatCode>
                <c:ptCount val="4"/>
                <c:pt idx="0">
                  <c:v>31097</c:v>
                </c:pt>
                <c:pt idx="1">
                  <c:v>25729</c:v>
                </c:pt>
                <c:pt idx="2">
                  <c:v>21480</c:v>
                </c:pt>
                <c:pt idx="3">
                  <c:v>15553</c:v>
                </c:pt>
              </c:numCache>
            </c:numRef>
          </c:val>
          <c:extLst>
            <c:ext xmlns:c16="http://schemas.microsoft.com/office/drawing/2014/chart" uri="{C3380CC4-5D6E-409C-BE32-E72D297353CC}">
              <c16:uniqueId val="{00000000-E12B-46C6-98ED-54FFBA2AF01B}"/>
            </c:ext>
          </c:extLst>
        </c:ser>
        <c:dLbls>
          <c:showLegendKey val="0"/>
          <c:showVal val="0"/>
          <c:showCatName val="0"/>
          <c:showSerName val="0"/>
          <c:showPercent val="0"/>
          <c:showBubbleSize val="0"/>
        </c:dLbls>
        <c:gapWidth val="219"/>
        <c:overlap val="-27"/>
        <c:axId val="1885547903"/>
        <c:axId val="1885545823"/>
      </c:barChart>
      <c:catAx>
        <c:axId val="188554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45823"/>
        <c:crosses val="autoZero"/>
        <c:auto val="1"/>
        <c:lblAlgn val="ctr"/>
        <c:lblOffset val="100"/>
        <c:noMultiLvlLbl val="0"/>
      </c:catAx>
      <c:valAx>
        <c:axId val="188554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Analysis'!$E$3</c:f>
              <c:strCache>
                <c:ptCount val="1"/>
                <c:pt idx="0">
                  <c:v>Total</c:v>
                </c:pt>
              </c:strCache>
            </c:strRef>
          </c:tx>
          <c:spPr>
            <a:solidFill>
              <a:schemeClr val="accent1"/>
            </a:solidFill>
            <a:ln>
              <a:noFill/>
            </a:ln>
            <a:effectLst/>
          </c:spPr>
          <c:invertIfNegative val="0"/>
          <c:cat>
            <c:strRef>
              <c:f>'Pivot Analysis'!$D$4:$D$10</c:f>
              <c:strCache>
                <c:ptCount val="6"/>
                <c:pt idx="0">
                  <c:v>Clothing</c:v>
                </c:pt>
                <c:pt idx="1">
                  <c:v>Electronics</c:v>
                </c:pt>
                <c:pt idx="2">
                  <c:v>Furniture</c:v>
                </c:pt>
                <c:pt idx="3">
                  <c:v>Home Decor</c:v>
                </c:pt>
                <c:pt idx="4">
                  <c:v>others</c:v>
                </c:pt>
                <c:pt idx="5">
                  <c:v>Sports</c:v>
                </c:pt>
              </c:strCache>
            </c:strRef>
          </c:cat>
          <c:val>
            <c:numRef>
              <c:f>'Pivot Analysis'!$E$4:$E$10</c:f>
              <c:numCache>
                <c:formatCode>General</c:formatCode>
                <c:ptCount val="6"/>
                <c:pt idx="0">
                  <c:v>3642.19</c:v>
                </c:pt>
                <c:pt idx="1">
                  <c:v>3760.8100000000004</c:v>
                </c:pt>
                <c:pt idx="2">
                  <c:v>1686.8700000000001</c:v>
                </c:pt>
                <c:pt idx="3">
                  <c:v>3297.0200000000004</c:v>
                </c:pt>
                <c:pt idx="4">
                  <c:v>309.81</c:v>
                </c:pt>
                <c:pt idx="5">
                  <c:v>2559.3300000000004</c:v>
                </c:pt>
              </c:numCache>
            </c:numRef>
          </c:val>
          <c:extLst>
            <c:ext xmlns:c16="http://schemas.microsoft.com/office/drawing/2014/chart" uri="{C3380CC4-5D6E-409C-BE32-E72D297353CC}">
              <c16:uniqueId val="{00000000-2A20-4C6B-A124-B80FB60A954D}"/>
            </c:ext>
          </c:extLst>
        </c:ser>
        <c:dLbls>
          <c:showLegendKey val="0"/>
          <c:showVal val="0"/>
          <c:showCatName val="0"/>
          <c:showSerName val="0"/>
          <c:showPercent val="0"/>
          <c:showBubbleSize val="0"/>
        </c:dLbls>
        <c:gapWidth val="219"/>
        <c:axId val="1557445679"/>
        <c:axId val="1557436527"/>
      </c:barChart>
      <c:catAx>
        <c:axId val="155744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36527"/>
        <c:crosses val="autoZero"/>
        <c:auto val="1"/>
        <c:lblAlgn val="ctr"/>
        <c:lblOffset val="100"/>
        <c:noMultiLvlLbl val="0"/>
      </c:catAx>
      <c:valAx>
        <c:axId val="1557436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4567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5A-4111-96CE-17366885BF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5A-4111-96CE-17366885BF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5A-4111-96CE-17366885BF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Analysis'!$G$4:$G$7</c:f>
              <c:strCache>
                <c:ptCount val="3"/>
                <c:pt idx="0">
                  <c:v>Card</c:v>
                </c:pt>
                <c:pt idx="1">
                  <c:v>Cash</c:v>
                </c:pt>
                <c:pt idx="2">
                  <c:v>Online</c:v>
                </c:pt>
              </c:strCache>
            </c:strRef>
          </c:cat>
          <c:val>
            <c:numRef>
              <c:f>'Pivot Analysis'!$H$4:$H$7</c:f>
              <c:numCache>
                <c:formatCode>General</c:formatCode>
                <c:ptCount val="3"/>
                <c:pt idx="0">
                  <c:v>138</c:v>
                </c:pt>
                <c:pt idx="1">
                  <c:v>53</c:v>
                </c:pt>
                <c:pt idx="2">
                  <c:v>69</c:v>
                </c:pt>
              </c:numCache>
            </c:numRef>
          </c:val>
          <c:extLst>
            <c:ext xmlns:c16="http://schemas.microsoft.com/office/drawing/2014/chart" uri="{C3380CC4-5D6E-409C-BE32-E72D297353CC}">
              <c16:uniqueId val="{00000006-E25A-4111-96CE-17366885BF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[Lab10_module5_Dashboardlab_veerpalgill19991.xlsx]Pivot 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Analysis'!$J$4:$J$9</c:f>
              <c:strCache>
                <c:ptCount val="5"/>
                <c:pt idx="0">
                  <c:v>Michael</c:v>
                </c:pt>
                <c:pt idx="1">
                  <c:v>Sophia</c:v>
                </c:pt>
                <c:pt idx="2">
                  <c:v>Olivia</c:v>
                </c:pt>
                <c:pt idx="3">
                  <c:v>David</c:v>
                </c:pt>
                <c:pt idx="4">
                  <c:v>John</c:v>
                </c:pt>
              </c:strCache>
            </c:strRef>
          </c:cat>
          <c:val>
            <c:numRef>
              <c:f>'Pivot Analysis'!$K$4:$K$9</c:f>
              <c:numCache>
                <c:formatCode>General</c:formatCode>
                <c:ptCount val="5"/>
                <c:pt idx="0">
                  <c:v>21477</c:v>
                </c:pt>
                <c:pt idx="1">
                  <c:v>19903</c:v>
                </c:pt>
                <c:pt idx="2">
                  <c:v>19543</c:v>
                </c:pt>
                <c:pt idx="3">
                  <c:v>14172</c:v>
                </c:pt>
                <c:pt idx="4">
                  <c:v>13848</c:v>
                </c:pt>
              </c:numCache>
            </c:numRef>
          </c:val>
          <c:extLst>
            <c:ext xmlns:c16="http://schemas.microsoft.com/office/drawing/2014/chart" uri="{C3380CC4-5D6E-409C-BE32-E72D297353CC}">
              <c16:uniqueId val="{00000000-BDCF-4B07-AFE3-4A9927AEC529}"/>
            </c:ext>
          </c:extLst>
        </c:ser>
        <c:dLbls>
          <c:showLegendKey val="0"/>
          <c:showVal val="0"/>
          <c:showCatName val="0"/>
          <c:showSerName val="0"/>
          <c:showPercent val="0"/>
          <c:showBubbleSize val="0"/>
        </c:dLbls>
        <c:gapWidth val="182"/>
        <c:axId val="2036019343"/>
        <c:axId val="2036018511"/>
      </c:barChart>
      <c:catAx>
        <c:axId val="203601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18511"/>
        <c:crosses val="autoZero"/>
        <c:auto val="1"/>
        <c:lblAlgn val="ctr"/>
        <c:lblOffset val="100"/>
        <c:noMultiLvlLbl val="0"/>
      </c:catAx>
      <c:valAx>
        <c:axId val="203601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19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137160</xdr:rowOff>
    </xdr:from>
    <xdr:to>
      <xdr:col>2</xdr:col>
      <xdr:colOff>91440</xdr:colOff>
      <xdr:row>21</xdr:row>
      <xdr:rowOff>167640</xdr:rowOff>
    </xdr:to>
    <xdr:graphicFrame macro="">
      <xdr:nvGraphicFramePr>
        <xdr:cNvPr id="2" name="Chart 1">
          <a:extLst>
            <a:ext uri="{FF2B5EF4-FFF2-40B4-BE49-F238E27FC236}">
              <a16:creationId xmlns:a16="http://schemas.microsoft.com/office/drawing/2014/main" id="{C5DC1698-E56C-42EC-AEA0-ECD3A818C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11</xdr:row>
      <xdr:rowOff>152400</xdr:rowOff>
    </xdr:from>
    <xdr:to>
      <xdr:col>5</xdr:col>
      <xdr:colOff>281940</xdr:colOff>
      <xdr:row>22</xdr:row>
      <xdr:rowOff>15240</xdr:rowOff>
    </xdr:to>
    <xdr:graphicFrame macro="">
      <xdr:nvGraphicFramePr>
        <xdr:cNvPr id="3" name="Chart 2">
          <a:extLst>
            <a:ext uri="{FF2B5EF4-FFF2-40B4-BE49-F238E27FC236}">
              <a16:creationId xmlns:a16="http://schemas.microsoft.com/office/drawing/2014/main" id="{4691CB8B-AF46-4C30-B593-58BC2AC6A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426720</xdr:colOff>
      <xdr:row>11</xdr:row>
      <xdr:rowOff>144780</xdr:rowOff>
    </xdr:from>
    <xdr:to>
      <xdr:col>9</xdr:col>
      <xdr:colOff>198120</xdr:colOff>
      <xdr:row>22</xdr:row>
      <xdr:rowOff>0</xdr:rowOff>
    </xdr:to>
    <xdr:graphicFrame macro="">
      <xdr:nvGraphicFramePr>
        <xdr:cNvPr id="4" name="Chart 3">
          <a:extLst>
            <a:ext uri="{FF2B5EF4-FFF2-40B4-BE49-F238E27FC236}">
              <a16:creationId xmlns:a16="http://schemas.microsoft.com/office/drawing/2014/main" id="{5B69953B-38F6-4B57-86F6-6EE3CE7C8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281940</xdr:colOff>
      <xdr:row>11</xdr:row>
      <xdr:rowOff>144780</xdr:rowOff>
    </xdr:from>
    <xdr:to>
      <xdr:col>11</xdr:col>
      <xdr:colOff>365760</xdr:colOff>
      <xdr:row>21</xdr:row>
      <xdr:rowOff>148590</xdr:rowOff>
    </xdr:to>
    <xdr:graphicFrame macro="">
      <xdr:nvGraphicFramePr>
        <xdr:cNvPr id="6" name="Chart 5">
          <a:extLst>
            <a:ext uri="{FF2B5EF4-FFF2-40B4-BE49-F238E27FC236}">
              <a16:creationId xmlns:a16="http://schemas.microsoft.com/office/drawing/2014/main" id="{450B16D6-5F59-41E6-B837-AF4A4C400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106680</xdr:colOff>
      <xdr:row>0</xdr:row>
      <xdr:rowOff>38101</xdr:rowOff>
    </xdr:from>
    <xdr:to>
      <xdr:col>21</xdr:col>
      <xdr:colOff>312420</xdr:colOff>
      <xdr:row>7</xdr:row>
      <xdr:rowOff>129540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1106FC-8457-48B0-B903-9978727C16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05460" y="38101"/>
              <a:ext cx="1828800"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121920</xdr:colOff>
      <xdr:row>0</xdr:row>
      <xdr:rowOff>0</xdr:rowOff>
    </xdr:from>
    <xdr:to>
      <xdr:col>14</xdr:col>
      <xdr:colOff>327660</xdr:colOff>
      <xdr:row>11</xdr:row>
      <xdr:rowOff>7620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AC35DAE-12D8-47A8-91F1-778903233F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33560" y="0"/>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365760</xdr:colOff>
      <xdr:row>0</xdr:row>
      <xdr:rowOff>38101</xdr:rowOff>
    </xdr:from>
    <xdr:to>
      <xdr:col>18</xdr:col>
      <xdr:colOff>30480</xdr:colOff>
      <xdr:row>7</xdr:row>
      <xdr:rowOff>38101</xdr:rowOff>
    </xdr:to>
    <mc:AlternateContent xmlns:mc="http://schemas.openxmlformats.org/markup-compatibility/2006" xmlns:a14="http://schemas.microsoft.com/office/drawing/2010/main">
      <mc:Choice Requires="a14">
        <xdr:graphicFrame macro="">
          <xdr:nvGraphicFramePr>
            <xdr:cNvPr id="9" name="Payment_Mode">
              <a:extLst>
                <a:ext uri="{FF2B5EF4-FFF2-40B4-BE49-F238E27FC236}">
                  <a16:creationId xmlns:a16="http://schemas.microsoft.com/office/drawing/2014/main" id="{15F3E875-3E3F-4AD7-AC2F-AF899550CF8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300460" y="3810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205740</xdr:colOff>
      <xdr:row>21</xdr:row>
      <xdr:rowOff>7620</xdr:rowOff>
    </xdr:to>
    <xdr:sp macro="" textlink="">
      <xdr:nvSpPr>
        <xdr:cNvPr id="2" name="Rectangle: Rounded Corners 1">
          <a:extLst>
            <a:ext uri="{FF2B5EF4-FFF2-40B4-BE49-F238E27FC236}">
              <a16:creationId xmlns:a16="http://schemas.microsoft.com/office/drawing/2014/main" id="{7920A591-5E7C-4AF5-8BA3-E13FA96CC662}"/>
            </a:ext>
          </a:extLst>
        </xdr:cNvPr>
        <xdr:cNvSpPr/>
      </xdr:nvSpPr>
      <xdr:spPr>
        <a:xfrm>
          <a:off x="0" y="0"/>
          <a:ext cx="8130540" cy="3848100"/>
        </a:xfrm>
        <a:prstGeom prst="roundRect">
          <a:avLst>
            <a:gd name="adj" fmla="val 7722"/>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APEX</a:t>
          </a:r>
          <a:r>
            <a:rPr lang="en-US" sz="1400" b="1" baseline="0">
              <a:solidFill>
                <a:schemeClr val="tx1"/>
              </a:solidFill>
            </a:rPr>
            <a:t> RETAIL SALES DASHBOARD</a:t>
          </a:r>
          <a:endParaRPr lang="en-US" sz="1400" b="1">
            <a:solidFill>
              <a:schemeClr val="tx1"/>
            </a:solidFill>
          </a:endParaRPr>
        </a:p>
      </xdr:txBody>
    </xdr:sp>
    <xdr:clientData/>
  </xdr:twoCellAnchor>
  <xdr:twoCellAnchor>
    <xdr:from>
      <xdr:col>0</xdr:col>
      <xdr:colOff>518160</xdr:colOff>
      <xdr:row>2</xdr:row>
      <xdr:rowOff>175260</xdr:rowOff>
    </xdr:from>
    <xdr:to>
      <xdr:col>2</xdr:col>
      <xdr:colOff>487680</xdr:colOff>
      <xdr:row>7</xdr:row>
      <xdr:rowOff>83820</xdr:rowOff>
    </xdr:to>
    <xdr:sp macro="" textlink="">
      <xdr:nvSpPr>
        <xdr:cNvPr id="4" name="Rectangle: Rounded Corners 3">
          <a:extLst>
            <a:ext uri="{FF2B5EF4-FFF2-40B4-BE49-F238E27FC236}">
              <a16:creationId xmlns:a16="http://schemas.microsoft.com/office/drawing/2014/main" id="{A559415D-2DDE-4E03-9FC7-41449F21AFFC}"/>
            </a:ext>
          </a:extLst>
        </xdr:cNvPr>
        <xdr:cNvSpPr/>
      </xdr:nvSpPr>
      <xdr:spPr>
        <a:xfrm>
          <a:off x="518160" y="541020"/>
          <a:ext cx="1188720" cy="822960"/>
        </a:xfrm>
        <a:prstGeom prst="roundRect">
          <a:avLst/>
        </a:prstGeom>
        <a:solidFill>
          <a:schemeClr val="accent3">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oneCellAnchor>
    <xdr:from>
      <xdr:col>1</xdr:col>
      <xdr:colOff>0</xdr:colOff>
      <xdr:row>3</xdr:row>
      <xdr:rowOff>38100</xdr:rowOff>
    </xdr:from>
    <xdr:ext cx="1005840" cy="762000"/>
    <xdr:sp macro="" textlink="">
      <xdr:nvSpPr>
        <xdr:cNvPr id="5" name="TextBox 4">
          <a:extLst>
            <a:ext uri="{FF2B5EF4-FFF2-40B4-BE49-F238E27FC236}">
              <a16:creationId xmlns:a16="http://schemas.microsoft.com/office/drawing/2014/main" id="{17D136C9-A165-4CA5-B43A-8795F7B98620}"/>
            </a:ext>
          </a:extLst>
        </xdr:cNvPr>
        <xdr:cNvSpPr txBox="1"/>
      </xdr:nvSpPr>
      <xdr:spPr>
        <a:xfrm>
          <a:off x="609600" y="586740"/>
          <a:ext cx="1005840"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ysClr val="windowText" lastClr="000000"/>
              </a:solidFill>
            </a:rPr>
            <a:t>$93859</a:t>
          </a:r>
        </a:p>
        <a:p>
          <a:pPr algn="ctr"/>
          <a:r>
            <a:rPr lang="en-US" sz="1100" b="1">
              <a:solidFill>
                <a:sysClr val="windowText" lastClr="000000"/>
              </a:solidFill>
            </a:rPr>
            <a:t>TOTAL</a:t>
          </a:r>
          <a:r>
            <a:rPr lang="en-US" sz="1100" b="1" baseline="0">
              <a:solidFill>
                <a:sysClr val="windowText" lastClr="000000"/>
              </a:solidFill>
            </a:rPr>
            <a:t> SALES</a:t>
          </a:r>
          <a:endParaRPr lang="en-US" sz="1100" b="1">
            <a:solidFill>
              <a:sysClr val="windowText" lastClr="000000"/>
            </a:solidFill>
          </a:endParaRPr>
        </a:p>
      </xdr:txBody>
    </xdr:sp>
    <xdr:clientData/>
  </xdr:oneCellAnchor>
  <xdr:twoCellAnchor>
    <xdr:from>
      <xdr:col>0</xdr:col>
      <xdr:colOff>487680</xdr:colOff>
      <xdr:row>8</xdr:row>
      <xdr:rowOff>0</xdr:rowOff>
    </xdr:from>
    <xdr:to>
      <xdr:col>2</xdr:col>
      <xdr:colOff>457200</xdr:colOff>
      <xdr:row>12</xdr:row>
      <xdr:rowOff>91440</xdr:rowOff>
    </xdr:to>
    <xdr:sp macro="" textlink="">
      <xdr:nvSpPr>
        <xdr:cNvPr id="8" name="Rectangle: Rounded Corners 7">
          <a:extLst>
            <a:ext uri="{FF2B5EF4-FFF2-40B4-BE49-F238E27FC236}">
              <a16:creationId xmlns:a16="http://schemas.microsoft.com/office/drawing/2014/main" id="{F7B2F9B1-873A-492C-9FBC-F0815819FE34}"/>
            </a:ext>
          </a:extLst>
        </xdr:cNvPr>
        <xdr:cNvSpPr/>
      </xdr:nvSpPr>
      <xdr:spPr>
        <a:xfrm>
          <a:off x="487680" y="1463040"/>
          <a:ext cx="1188720" cy="822960"/>
        </a:xfrm>
        <a:prstGeom prst="roundRect">
          <a:avLst/>
        </a:prstGeom>
        <a:solidFill>
          <a:schemeClr val="accent3">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$15256</a:t>
          </a:r>
        </a:p>
        <a:p>
          <a:pPr algn="ctr"/>
          <a:r>
            <a:rPr lang="en-US" sz="1100" b="1">
              <a:solidFill>
                <a:sysClr val="windowText" lastClr="000000"/>
              </a:solidFill>
            </a:rPr>
            <a:t>TOTAL</a:t>
          </a:r>
          <a:r>
            <a:rPr lang="en-US" sz="1100" b="1" baseline="0">
              <a:solidFill>
                <a:sysClr val="windowText" lastClr="000000"/>
              </a:solidFill>
            </a:rPr>
            <a:t> PROFIT</a:t>
          </a:r>
          <a:endParaRPr lang="en-US" sz="1100" b="1">
            <a:solidFill>
              <a:sysClr val="windowText" lastClr="000000"/>
            </a:solidFill>
          </a:endParaRPr>
        </a:p>
      </xdr:txBody>
    </xdr:sp>
    <xdr:clientData/>
  </xdr:twoCellAnchor>
  <xdr:twoCellAnchor>
    <xdr:from>
      <xdr:col>0</xdr:col>
      <xdr:colOff>518160</xdr:colOff>
      <xdr:row>13</xdr:row>
      <xdr:rowOff>30480</xdr:rowOff>
    </xdr:from>
    <xdr:to>
      <xdr:col>2</xdr:col>
      <xdr:colOff>502921</xdr:colOff>
      <xdr:row>17</xdr:row>
      <xdr:rowOff>121920</xdr:rowOff>
    </xdr:to>
    <xdr:sp macro="" textlink="">
      <xdr:nvSpPr>
        <xdr:cNvPr id="10" name="Rectangle: Rounded Corners 9">
          <a:extLst>
            <a:ext uri="{FF2B5EF4-FFF2-40B4-BE49-F238E27FC236}">
              <a16:creationId xmlns:a16="http://schemas.microsoft.com/office/drawing/2014/main" id="{F6AC824C-FC37-4D10-9B00-63352BF82146}"/>
            </a:ext>
          </a:extLst>
        </xdr:cNvPr>
        <xdr:cNvSpPr/>
      </xdr:nvSpPr>
      <xdr:spPr>
        <a:xfrm>
          <a:off x="518160" y="2407920"/>
          <a:ext cx="1203961" cy="822960"/>
        </a:xfrm>
        <a:prstGeom prst="roundRect">
          <a:avLst/>
        </a:prstGeom>
        <a:solidFill>
          <a:schemeClr val="accent3">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260</a:t>
          </a:r>
        </a:p>
        <a:p>
          <a:pPr algn="ctr"/>
          <a:r>
            <a:rPr lang="en-US" sz="1100" b="1">
              <a:solidFill>
                <a:sysClr val="windowText" lastClr="000000"/>
              </a:solidFill>
            </a:rPr>
            <a:t>QTY.SOLID</a:t>
          </a:r>
        </a:p>
      </xdr:txBody>
    </xdr:sp>
    <xdr:clientData/>
  </xdr:twoCellAnchor>
  <xdr:twoCellAnchor editAs="oneCell">
    <xdr:from>
      <xdr:col>10</xdr:col>
      <xdr:colOff>137160</xdr:colOff>
      <xdr:row>0</xdr:row>
      <xdr:rowOff>99060</xdr:rowOff>
    </xdr:from>
    <xdr:to>
      <xdr:col>13</xdr:col>
      <xdr:colOff>167640</xdr:colOff>
      <xdr:row>4</xdr:row>
      <xdr:rowOff>60960</xdr:rowOff>
    </xdr:to>
    <mc:AlternateContent xmlns:mc="http://schemas.openxmlformats.org/markup-compatibility/2006" xmlns:a14="http://schemas.microsoft.com/office/drawing/2010/main">
      <mc:Choice Requires="a14">
        <xdr:graphicFrame macro="">
          <xdr:nvGraphicFramePr>
            <xdr:cNvPr id="12" name="Payment_Mode 1">
              <a:extLst>
                <a:ext uri="{FF2B5EF4-FFF2-40B4-BE49-F238E27FC236}">
                  <a16:creationId xmlns:a16="http://schemas.microsoft.com/office/drawing/2014/main" id="{B3722622-47CF-4D21-AAC0-107758EB70AB}"/>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6233160" y="99060"/>
              <a:ext cx="185928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160020</xdr:colOff>
      <xdr:row>10</xdr:row>
      <xdr:rowOff>144780</xdr:rowOff>
    </xdr:from>
    <xdr:to>
      <xdr:col>13</xdr:col>
      <xdr:colOff>160020</xdr:colOff>
      <xdr:row>20</xdr:row>
      <xdr:rowOff>53340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63945F7C-A15B-49CD-8863-904FB442F5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56020" y="1973580"/>
              <a:ext cx="18288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4</xdr:row>
      <xdr:rowOff>83821</xdr:rowOff>
    </xdr:from>
    <xdr:to>
      <xdr:col>13</xdr:col>
      <xdr:colOff>152400</xdr:colOff>
      <xdr:row>10</xdr:row>
      <xdr:rowOff>106681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CAD573A9-B3C2-4B96-9A9F-70189415A4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248400" y="81534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xdr:colOff>
      <xdr:row>2</xdr:row>
      <xdr:rowOff>83820</xdr:rowOff>
    </xdr:from>
    <xdr:to>
      <xdr:col>6</xdr:col>
      <xdr:colOff>403860</xdr:colOff>
      <xdr:row>10</xdr:row>
      <xdr:rowOff>30480</xdr:rowOff>
    </xdr:to>
    <xdr:graphicFrame macro="">
      <xdr:nvGraphicFramePr>
        <xdr:cNvPr id="18" name="Chart 17">
          <a:extLst>
            <a:ext uri="{FF2B5EF4-FFF2-40B4-BE49-F238E27FC236}">
              <a16:creationId xmlns:a16="http://schemas.microsoft.com/office/drawing/2014/main" id="{D1270383-991B-4F62-A1BA-0FBBD5F4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10</xdr:row>
      <xdr:rowOff>53340</xdr:rowOff>
    </xdr:from>
    <xdr:to>
      <xdr:col>6</xdr:col>
      <xdr:colOff>426720</xdr:colOff>
      <xdr:row>18</xdr:row>
      <xdr:rowOff>167640</xdr:rowOff>
    </xdr:to>
    <xdr:graphicFrame macro="">
      <xdr:nvGraphicFramePr>
        <xdr:cNvPr id="20" name="Chart 19">
          <a:extLst>
            <a:ext uri="{FF2B5EF4-FFF2-40B4-BE49-F238E27FC236}">
              <a16:creationId xmlns:a16="http://schemas.microsoft.com/office/drawing/2014/main" id="{42F99DB1-C459-44A3-9124-964F47821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2</xdr:row>
      <xdr:rowOff>83820</xdr:rowOff>
    </xdr:from>
    <xdr:to>
      <xdr:col>10</xdr:col>
      <xdr:colOff>68580</xdr:colOff>
      <xdr:row>10</xdr:row>
      <xdr:rowOff>45720</xdr:rowOff>
    </xdr:to>
    <xdr:graphicFrame macro="">
      <xdr:nvGraphicFramePr>
        <xdr:cNvPr id="22" name="Chart 21">
          <a:extLst>
            <a:ext uri="{FF2B5EF4-FFF2-40B4-BE49-F238E27FC236}">
              <a16:creationId xmlns:a16="http://schemas.microsoft.com/office/drawing/2014/main" id="{BA34586D-6BB7-482B-BF2D-8ADEF2DC8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10</xdr:row>
      <xdr:rowOff>30480</xdr:rowOff>
    </xdr:from>
    <xdr:to>
      <xdr:col>10</xdr:col>
      <xdr:colOff>60960</xdr:colOff>
      <xdr:row>19</xdr:row>
      <xdr:rowOff>15240</xdr:rowOff>
    </xdr:to>
    <xdr:graphicFrame macro="">
      <xdr:nvGraphicFramePr>
        <xdr:cNvPr id="24" name="Chart 23">
          <a:extLst>
            <a:ext uri="{FF2B5EF4-FFF2-40B4-BE49-F238E27FC236}">
              <a16:creationId xmlns:a16="http://schemas.microsoft.com/office/drawing/2014/main" id="{F4E0632F-F143-413C-B88D-677CA22E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winder gill" refreshedDate="46252.863413888888" createdVersion="7" refreshedVersion="7" minRefreshableVersion="3" recordCount="50" xr:uid="{E522AA94-DF91-43B7-A801-B24F8D41BEEF}">
  <cacheSource type="worksheet">
    <worksheetSource name="Table1"/>
  </cacheSource>
  <cacheFields count="10">
    <cacheField name="Order_ID" numFmtId="0">
      <sharedItems/>
    </cacheField>
    <cacheField name="Order_Date" numFmtId="0">
      <sharedItems count="42">
        <s v="01-14-2026"/>
        <s v="04-10-2026"/>
        <s v="02-23-2026"/>
        <s v="01-26-2026"/>
        <s v="03-06-2026"/>
        <s v="03-05-2026"/>
        <s v="04-11-2026"/>
        <s v="04-21-2026"/>
        <s v="03-18-2026"/>
        <s v="01-05-2026"/>
        <s v="02-24-2026"/>
        <s v="03-10-2026"/>
        <s v="04-28-2026"/>
        <s v="03-12-2026"/>
        <s v="01-20-2026"/>
        <s v="04-15-2026"/>
        <s v="01-23-2026"/>
        <s v="01-13-2026"/>
        <s v="03-26-2026"/>
        <s v="02-27-2026"/>
        <s v="01-02-2026"/>
        <s v="01-25-2026"/>
        <s v="01-11-2026"/>
        <s v="01-01-2026"/>
        <s v="02-01-2026"/>
        <s v="03-16-2026"/>
        <s v="02-14-2026"/>
        <s v="01-21-2026"/>
        <s v="05-01-2026"/>
        <s v="03-23-2026"/>
        <s v="04-07-2026"/>
        <s v="04-27-2026"/>
        <s v="03-07-2026"/>
        <s v="01-24-2026"/>
        <s v="04-18-2026"/>
        <s v="01-03-2026"/>
        <s v="01-06-2026"/>
        <s v="04-16-2026"/>
        <s v="04-06-2026"/>
        <s v="02-09-2026"/>
        <s v="04-09-2026"/>
        <s v="04-22-2026"/>
      </sharedItems>
    </cacheField>
    <cacheField name="Region" numFmtId="0">
      <sharedItems count="4">
        <s v="North"/>
        <s v="South"/>
        <s v="West"/>
        <s v="East"/>
      </sharedItems>
    </cacheField>
    <cacheField name="Category" numFmtId="0">
      <sharedItems count="6">
        <s v="Electronics"/>
        <s v="Home Decor"/>
        <s v="Clothing"/>
        <s v="Sports"/>
        <s v="Furniture"/>
        <s v="others"/>
      </sharedItems>
    </cacheField>
    <cacheField name="Product_Name" numFmtId="0">
      <sharedItems/>
    </cacheField>
    <cacheField name="Salesperson" numFmtId="0">
      <sharedItems count="7">
        <s v="Emily"/>
        <s v="Michael"/>
        <s v="Sophia"/>
        <s v="John"/>
        <s v="Olivia"/>
        <s v="David"/>
        <s v="Unknown"/>
      </sharedItems>
    </cacheField>
    <cacheField name="Payment_Mode" numFmtId="0">
      <sharedItems count="3">
        <s v="Card"/>
        <s v="Cash"/>
        <s v="Online"/>
      </sharedItems>
    </cacheField>
    <cacheField name="Quantity" numFmtId="0">
      <sharedItems containsSemiMixedTypes="0" containsString="0" containsNumber="1" containsInteger="1" minValue="1" maxValue="10"/>
    </cacheField>
    <cacheField name="Sales_Amount" numFmtId="164">
      <sharedItems containsSemiMixedTypes="0" containsString="0" containsNumber="1" containsInteger="1" minValue="0" maxValue="2996" count="48">
        <n v="2070"/>
        <n v="1655"/>
        <n v="1961"/>
        <n v="1310"/>
        <n v="2282"/>
        <n v="1850"/>
        <n v="1113"/>
        <n v="2654"/>
        <n v="1347"/>
        <n v="2860"/>
        <n v="1891"/>
        <n v="2996"/>
        <n v="831"/>
        <n v="2846"/>
        <n v="2888"/>
        <n v="2669"/>
        <n v="734"/>
        <n v="1512"/>
        <n v="144"/>
        <n v="2460"/>
        <n v="2658"/>
        <n v="2163"/>
        <n v="2155"/>
        <n v="0"/>
        <n v="2302"/>
        <n v="2868"/>
        <n v="2723"/>
        <n v="780"/>
        <n v="1266"/>
        <n v="2835"/>
        <n v="1162"/>
        <n v="2963"/>
        <n v="2435"/>
        <n v="1002"/>
        <n v="2840"/>
        <n v="1990"/>
        <n v="1357"/>
        <n v="2907"/>
        <n v="1860"/>
        <n v="954"/>
        <n v="786"/>
        <n v="2365"/>
        <n v="1810"/>
        <n v="977"/>
        <n v="1542"/>
        <n v="1160"/>
        <n v="2833"/>
        <n v="2704"/>
      </sharedItems>
    </cacheField>
    <cacheField name="Profit" numFmtId="0">
      <sharedItems containsSemiMixedTypes="0" containsString="0" containsNumber="1" minValue="0" maxValue="630.96"/>
    </cacheField>
  </cacheFields>
  <extLst>
    <ext xmlns:x14="http://schemas.microsoft.com/office/spreadsheetml/2009/9/main" uri="{725AE2AE-9491-48be-B2B4-4EB974FC3084}">
      <x14:pivotCacheDefinition pivotCacheId="1926242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1002"/>
    <x v="0"/>
    <x v="0"/>
    <x v="0"/>
    <s v="Laptop"/>
    <x v="0"/>
    <x v="0"/>
    <n v="10"/>
    <x v="0"/>
    <n v="414"/>
  </r>
  <r>
    <s v="ORD-1003"/>
    <x v="1"/>
    <x v="1"/>
    <x v="1"/>
    <s v="Tennis Racket"/>
    <x v="1"/>
    <x v="0"/>
    <n v="8"/>
    <x v="1"/>
    <n v="182.05"/>
  </r>
  <r>
    <s v="ORD-1004"/>
    <x v="2"/>
    <x v="1"/>
    <x v="2"/>
    <s v="Jeans"/>
    <x v="2"/>
    <x v="0"/>
    <n v="1"/>
    <x v="2"/>
    <n v="254.93"/>
  </r>
  <r>
    <s v="ORD-1005"/>
    <x v="3"/>
    <x v="2"/>
    <x v="3"/>
    <s v="Laptop"/>
    <x v="3"/>
    <x v="1"/>
    <n v="2"/>
    <x v="3"/>
    <n v="131"/>
  </r>
  <r>
    <s v="ORD-1006"/>
    <x v="4"/>
    <x v="2"/>
    <x v="4"/>
    <s v="Headphones"/>
    <x v="4"/>
    <x v="0"/>
    <n v="1"/>
    <x v="4"/>
    <n v="570.5"/>
  </r>
  <r>
    <s v="ORD-1007"/>
    <x v="5"/>
    <x v="2"/>
    <x v="0"/>
    <s v="Laptop"/>
    <x v="2"/>
    <x v="1"/>
    <n v="6"/>
    <x v="5"/>
    <n v="388.5"/>
  </r>
  <r>
    <s v="ORD-1008"/>
    <x v="6"/>
    <x v="1"/>
    <x v="3"/>
    <s v="Table Lamp"/>
    <x v="4"/>
    <x v="2"/>
    <n v="2"/>
    <x v="6"/>
    <n v="100.17"/>
  </r>
  <r>
    <s v="ORD-1009"/>
    <x v="7"/>
    <x v="0"/>
    <x v="3"/>
    <s v="Basketball"/>
    <x v="1"/>
    <x v="2"/>
    <n v="4"/>
    <x v="7"/>
    <n v="451.18"/>
  </r>
  <r>
    <s v="ORD-1010"/>
    <x v="8"/>
    <x v="2"/>
    <x v="5"/>
    <s v="Basketball"/>
    <x v="4"/>
    <x v="2"/>
    <n v="6"/>
    <x v="8"/>
    <n v="309.81"/>
  </r>
  <r>
    <s v="ORD-1011"/>
    <x v="9"/>
    <x v="0"/>
    <x v="2"/>
    <s v="Tennis Racket"/>
    <x v="5"/>
    <x v="0"/>
    <n v="10"/>
    <x v="9"/>
    <n v="286"/>
  </r>
  <r>
    <s v="ORD-1012"/>
    <x v="10"/>
    <x v="1"/>
    <x v="4"/>
    <s v="Headphones"/>
    <x v="5"/>
    <x v="0"/>
    <n v="4"/>
    <x v="10"/>
    <n v="340.38"/>
  </r>
  <r>
    <s v="ORD-1013"/>
    <x v="11"/>
    <x v="1"/>
    <x v="0"/>
    <s v="Laptop"/>
    <x v="3"/>
    <x v="2"/>
    <n v="4"/>
    <x v="11"/>
    <n v="449.4"/>
  </r>
  <r>
    <s v="ORD-1014"/>
    <x v="12"/>
    <x v="2"/>
    <x v="4"/>
    <s v="Dining Table"/>
    <x v="2"/>
    <x v="0"/>
    <n v="1"/>
    <x v="12"/>
    <n v="191.13"/>
  </r>
  <r>
    <s v="ORD-1015"/>
    <x v="13"/>
    <x v="3"/>
    <x v="1"/>
    <s v="Jeans"/>
    <x v="6"/>
    <x v="0"/>
    <n v="10"/>
    <x v="13"/>
    <n v="512.28"/>
  </r>
  <r>
    <s v="ORD-1016"/>
    <x v="14"/>
    <x v="1"/>
    <x v="3"/>
    <s v="Wall Clock"/>
    <x v="5"/>
    <x v="0"/>
    <n v="8"/>
    <x v="14"/>
    <n v="462.08"/>
  </r>
  <r>
    <s v="ORD-1017"/>
    <x v="15"/>
    <x v="2"/>
    <x v="2"/>
    <s v="Jeans"/>
    <x v="5"/>
    <x v="2"/>
    <n v="1"/>
    <x v="15"/>
    <n v="133.44999999999999"/>
  </r>
  <r>
    <s v="ORD-1018"/>
    <x v="16"/>
    <x v="1"/>
    <x v="1"/>
    <s v="T-Shirt"/>
    <x v="4"/>
    <x v="1"/>
    <n v="3"/>
    <x v="16"/>
    <n v="183.5"/>
  </r>
  <r>
    <s v="ORD-1019"/>
    <x v="8"/>
    <x v="2"/>
    <x v="4"/>
    <s v="Basketball"/>
    <x v="1"/>
    <x v="0"/>
    <n v="8"/>
    <x v="17"/>
    <n v="105.84"/>
  </r>
  <r>
    <s v="ORD-1020"/>
    <x v="17"/>
    <x v="0"/>
    <x v="4"/>
    <s v="T-Shirt"/>
    <x v="2"/>
    <x v="2"/>
    <n v="5"/>
    <x v="18"/>
    <n v="14.4"/>
  </r>
  <r>
    <s v="ORD-1021"/>
    <x v="18"/>
    <x v="0"/>
    <x v="2"/>
    <s v="Dining Table"/>
    <x v="4"/>
    <x v="0"/>
    <n v="10"/>
    <x v="19"/>
    <n v="516.6"/>
  </r>
  <r>
    <s v="ORD-1022"/>
    <x v="17"/>
    <x v="0"/>
    <x v="2"/>
    <s v="Wall Clock"/>
    <x v="3"/>
    <x v="0"/>
    <n v="4"/>
    <x v="20"/>
    <n v="558.17999999999995"/>
  </r>
  <r>
    <s v="ORD-1023"/>
    <x v="19"/>
    <x v="3"/>
    <x v="2"/>
    <s v="Table Lamp"/>
    <x v="2"/>
    <x v="1"/>
    <n v="2"/>
    <x v="21"/>
    <n v="475.86"/>
  </r>
  <r>
    <s v="ORD-1024"/>
    <x v="20"/>
    <x v="3"/>
    <x v="1"/>
    <s v="Wall Clock"/>
    <x v="2"/>
    <x v="2"/>
    <n v="2"/>
    <x v="22"/>
    <n v="538.75"/>
  </r>
  <r>
    <s v="ORD-1025"/>
    <x v="21"/>
    <x v="3"/>
    <x v="2"/>
    <s v="Tennis Racket"/>
    <x v="4"/>
    <x v="2"/>
    <n v="4"/>
    <x v="23"/>
    <n v="191.73"/>
  </r>
  <r>
    <s v="ORD-1026"/>
    <x v="22"/>
    <x v="0"/>
    <x v="0"/>
    <s v="Office Chair"/>
    <x v="1"/>
    <x v="0"/>
    <n v="10"/>
    <x v="24"/>
    <n v="460.4"/>
  </r>
  <r>
    <s v="ORD-1027"/>
    <x v="23"/>
    <x v="0"/>
    <x v="3"/>
    <s v="Wall Clock"/>
    <x v="1"/>
    <x v="2"/>
    <n v="3"/>
    <x v="25"/>
    <n v="630.96"/>
  </r>
  <r>
    <s v="ORD-1028"/>
    <x v="24"/>
    <x v="0"/>
    <x v="3"/>
    <s v="Office Chair"/>
    <x v="1"/>
    <x v="2"/>
    <n v="3"/>
    <x v="26"/>
    <n v="435.68"/>
  </r>
  <r>
    <s v="ORD-1029"/>
    <x v="25"/>
    <x v="3"/>
    <x v="2"/>
    <s v="Wall Clock"/>
    <x v="4"/>
    <x v="0"/>
    <n v="8"/>
    <x v="27"/>
    <n v="101.4"/>
  </r>
  <r>
    <s v="ORD-1030"/>
    <x v="26"/>
    <x v="3"/>
    <x v="2"/>
    <s v="Basketball"/>
    <x v="2"/>
    <x v="1"/>
    <n v="6"/>
    <x v="28"/>
    <n v="0"/>
  </r>
  <r>
    <s v="ORD-1031"/>
    <x v="27"/>
    <x v="1"/>
    <x v="1"/>
    <s v="Wall Clock"/>
    <x v="4"/>
    <x v="1"/>
    <n v="4"/>
    <x v="29"/>
    <n v="283.5"/>
  </r>
  <r>
    <s v="ORD-1032"/>
    <x v="4"/>
    <x v="0"/>
    <x v="3"/>
    <s v="Laptop"/>
    <x v="2"/>
    <x v="2"/>
    <n v="5"/>
    <x v="30"/>
    <n v="127.82"/>
  </r>
  <r>
    <s v="ORD-1033"/>
    <x v="28"/>
    <x v="1"/>
    <x v="0"/>
    <s v="Dining Table"/>
    <x v="1"/>
    <x v="1"/>
    <n v="2"/>
    <x v="31"/>
    <n v="533.34"/>
  </r>
  <r>
    <s v="ORD-1034"/>
    <x v="29"/>
    <x v="2"/>
    <x v="0"/>
    <s v="Laptop"/>
    <x v="3"/>
    <x v="1"/>
    <n v="2"/>
    <x v="32"/>
    <n v="560.04999999999995"/>
  </r>
  <r>
    <s v="ORD-1035"/>
    <x v="30"/>
    <x v="2"/>
    <x v="3"/>
    <s v="Wall Clock"/>
    <x v="1"/>
    <x v="0"/>
    <n v="8"/>
    <x v="33"/>
    <n v="220.44"/>
  </r>
  <r>
    <s v="ORD-1036"/>
    <x v="31"/>
    <x v="2"/>
    <x v="4"/>
    <s v="Wall Clock"/>
    <x v="4"/>
    <x v="2"/>
    <n v="6"/>
    <x v="34"/>
    <n v="170.4"/>
  </r>
  <r>
    <s v="ORD-1037"/>
    <x v="32"/>
    <x v="3"/>
    <x v="1"/>
    <s v="Laptop"/>
    <x v="2"/>
    <x v="1"/>
    <n v="5"/>
    <x v="35"/>
    <n v="417.9"/>
  </r>
  <r>
    <s v="ORD-1038"/>
    <x v="33"/>
    <x v="1"/>
    <x v="2"/>
    <s v="Jeans"/>
    <x v="1"/>
    <x v="2"/>
    <n v="7"/>
    <x v="36"/>
    <n v="122.13"/>
  </r>
  <r>
    <s v="ORD-1039"/>
    <x v="34"/>
    <x v="0"/>
    <x v="1"/>
    <s v="Office Chair"/>
    <x v="3"/>
    <x v="2"/>
    <n v="6"/>
    <x v="37"/>
    <n v="348.84"/>
  </r>
  <r>
    <s v="ORD-1040"/>
    <x v="35"/>
    <x v="1"/>
    <x v="0"/>
    <s v="Laptop"/>
    <x v="1"/>
    <x v="0"/>
    <n v="9"/>
    <x v="1"/>
    <n v="347.55"/>
  </r>
  <r>
    <s v="ORD-1041"/>
    <x v="0"/>
    <x v="2"/>
    <x v="1"/>
    <s v="Dining Table"/>
    <x v="2"/>
    <x v="1"/>
    <n v="1"/>
    <x v="38"/>
    <n v="167.4"/>
  </r>
  <r>
    <s v="ORD-1042"/>
    <x v="36"/>
    <x v="0"/>
    <x v="4"/>
    <s v="Dining Table"/>
    <x v="2"/>
    <x v="0"/>
    <n v="8"/>
    <x v="39"/>
    <n v="104.94"/>
  </r>
  <r>
    <s v="ORD-1043"/>
    <x v="37"/>
    <x v="3"/>
    <x v="0"/>
    <s v="Office Chair"/>
    <x v="1"/>
    <x v="1"/>
    <n v="9"/>
    <x v="40"/>
    <n v="188.64"/>
  </r>
  <r>
    <s v="ORD-1044"/>
    <x v="38"/>
    <x v="0"/>
    <x v="2"/>
    <s v="Table Lamp"/>
    <x v="4"/>
    <x v="1"/>
    <n v="1"/>
    <x v="41"/>
    <n v="520.29999999999995"/>
  </r>
  <r>
    <s v="ORD-1045"/>
    <x v="28"/>
    <x v="0"/>
    <x v="1"/>
    <s v="Laptop"/>
    <x v="4"/>
    <x v="0"/>
    <n v="4"/>
    <x v="42"/>
    <n v="343.9"/>
  </r>
  <r>
    <s v="ORD-1046"/>
    <x v="39"/>
    <x v="1"/>
    <x v="0"/>
    <s v="Headphones"/>
    <x v="4"/>
    <x v="2"/>
    <n v="10"/>
    <x v="43"/>
    <n v="48.85"/>
  </r>
  <r>
    <s v="ORD-1047"/>
    <x v="35"/>
    <x v="2"/>
    <x v="0"/>
    <s v="Headphones"/>
    <x v="3"/>
    <x v="0"/>
    <n v="5"/>
    <x v="44"/>
    <n v="370.08"/>
  </r>
  <r>
    <s v="ORD-1048"/>
    <x v="1"/>
    <x v="0"/>
    <x v="1"/>
    <s v="T-Shirt"/>
    <x v="5"/>
    <x v="2"/>
    <n v="1"/>
    <x v="45"/>
    <n v="208.8"/>
  </r>
  <r>
    <s v="ORD-1049"/>
    <x v="40"/>
    <x v="3"/>
    <x v="2"/>
    <s v="Basketball"/>
    <x v="2"/>
    <x v="0"/>
    <n v="9"/>
    <x v="46"/>
    <n v="481.61"/>
  </r>
  <r>
    <s v="ORD-1050"/>
    <x v="6"/>
    <x v="3"/>
    <x v="1"/>
    <s v="Basketball"/>
    <x v="2"/>
    <x v="0"/>
    <n v="2"/>
    <x v="16"/>
    <n v="110.1"/>
  </r>
  <r>
    <s v="ORD-1051"/>
    <x v="41"/>
    <x v="1"/>
    <x v="4"/>
    <s v="Headphones"/>
    <x v="5"/>
    <x v="1"/>
    <n v="10"/>
    <x v="47"/>
    <n v="189.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15E8E-83DE-44FB-BC78-7D38278451D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3:K9" firstHeaderRow="1" firstDataRow="1" firstDataCol="1"/>
  <pivotFields count="10">
    <pivotField showAll="0"/>
    <pivotField showAll="0">
      <items count="43">
        <item x="23"/>
        <item x="20"/>
        <item x="35"/>
        <item x="9"/>
        <item x="36"/>
        <item x="22"/>
        <item x="17"/>
        <item x="0"/>
        <item x="14"/>
        <item x="27"/>
        <item x="16"/>
        <item x="33"/>
        <item x="21"/>
        <item x="3"/>
        <item x="24"/>
        <item x="39"/>
        <item x="26"/>
        <item x="2"/>
        <item x="10"/>
        <item x="19"/>
        <item x="5"/>
        <item x="4"/>
        <item x="32"/>
        <item x="11"/>
        <item x="13"/>
        <item x="25"/>
        <item x="8"/>
        <item x="29"/>
        <item x="18"/>
        <item x="38"/>
        <item x="30"/>
        <item x="40"/>
        <item x="1"/>
        <item x="6"/>
        <item x="15"/>
        <item x="37"/>
        <item x="34"/>
        <item x="7"/>
        <item x="41"/>
        <item x="31"/>
        <item x="12"/>
        <item x="28"/>
        <item t="default"/>
      </items>
    </pivotField>
    <pivotField showAll="0">
      <items count="5">
        <item x="3"/>
        <item x="0"/>
        <item x="1"/>
        <item x="2"/>
        <item t="default"/>
      </items>
    </pivotField>
    <pivotField showAll="0">
      <items count="7">
        <item x="2"/>
        <item x="0"/>
        <item x="4"/>
        <item x="1"/>
        <item x="5"/>
        <item x="3"/>
        <item t="default"/>
      </items>
    </pivotField>
    <pivotField showAll="0"/>
    <pivotField axis="axisRow" showAll="0" measureFilter="1" sortType="descending">
      <items count="8">
        <item x="5"/>
        <item x="0"/>
        <item x="3"/>
        <item x="1"/>
        <item x="4"/>
        <item x="2"/>
        <item x="6"/>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numFmtId="164" showAll="0">
      <items count="49">
        <item x="23"/>
        <item x="18"/>
        <item x="16"/>
        <item x="27"/>
        <item x="40"/>
        <item x="12"/>
        <item x="39"/>
        <item x="43"/>
        <item x="33"/>
        <item x="6"/>
        <item x="45"/>
        <item x="30"/>
        <item x="28"/>
        <item x="3"/>
        <item x="8"/>
        <item x="36"/>
        <item x="17"/>
        <item x="44"/>
        <item x="1"/>
        <item x="42"/>
        <item x="5"/>
        <item x="38"/>
        <item x="10"/>
        <item x="2"/>
        <item x="35"/>
        <item x="0"/>
        <item x="22"/>
        <item x="21"/>
        <item x="4"/>
        <item x="24"/>
        <item x="41"/>
        <item x="32"/>
        <item x="19"/>
        <item x="7"/>
        <item x="20"/>
        <item x="15"/>
        <item x="47"/>
        <item x="26"/>
        <item x="46"/>
        <item x="29"/>
        <item x="34"/>
        <item x="13"/>
        <item x="9"/>
        <item x="25"/>
        <item x="14"/>
        <item x="37"/>
        <item x="31"/>
        <item x="11"/>
        <item t="default"/>
      </items>
    </pivotField>
    <pivotField showAll="0"/>
  </pivotFields>
  <rowFields count="1">
    <field x="5"/>
  </rowFields>
  <rowItems count="6">
    <i>
      <x v="3"/>
    </i>
    <i>
      <x v="5"/>
    </i>
    <i>
      <x v="4"/>
    </i>
    <i>
      <x/>
    </i>
    <i>
      <x v="2"/>
    </i>
    <i t="grand">
      <x/>
    </i>
  </rowItems>
  <colItems count="1">
    <i/>
  </colItems>
  <dataFields count="1">
    <dataField name="Sum of Sales_Amount" fld="8"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81B32-9EB8-4012-8FF3-B3B3E9F86A1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7" firstHeaderRow="1" firstDataRow="1" firstDataCol="1"/>
  <pivotFields count="10">
    <pivotField showAll="0"/>
    <pivotField showAll="0">
      <items count="43">
        <item x="23"/>
        <item x="20"/>
        <item x="35"/>
        <item x="9"/>
        <item x="36"/>
        <item x="22"/>
        <item x="17"/>
        <item x="0"/>
        <item x="14"/>
        <item x="27"/>
        <item x="16"/>
        <item x="33"/>
        <item x="21"/>
        <item x="3"/>
        <item x="24"/>
        <item x="39"/>
        <item x="26"/>
        <item x="2"/>
        <item x="10"/>
        <item x="19"/>
        <item x="5"/>
        <item x="4"/>
        <item x="32"/>
        <item x="11"/>
        <item x="13"/>
        <item x="25"/>
        <item x="8"/>
        <item x="29"/>
        <item x="18"/>
        <item x="38"/>
        <item x="30"/>
        <item x="40"/>
        <item x="1"/>
        <item x="6"/>
        <item x="15"/>
        <item x="37"/>
        <item x="34"/>
        <item x="7"/>
        <item x="41"/>
        <item x="31"/>
        <item x="12"/>
        <item x="28"/>
        <item t="default"/>
      </items>
    </pivotField>
    <pivotField showAll="0">
      <items count="5">
        <item x="3"/>
        <item x="0"/>
        <item x="1"/>
        <item x="2"/>
        <item t="default"/>
      </items>
    </pivotField>
    <pivotField showAll="0">
      <items count="7">
        <item x="2"/>
        <item x="0"/>
        <item x="4"/>
        <item x="1"/>
        <item x="5"/>
        <item x="3"/>
        <item t="default"/>
      </items>
    </pivotField>
    <pivotField showAll="0"/>
    <pivotField showAll="0"/>
    <pivotField axis="axisRow" showAll="0">
      <items count="4">
        <item x="0"/>
        <item x="1"/>
        <item x="2"/>
        <item t="default"/>
      </items>
    </pivotField>
    <pivotField dataField="1" showAll="0"/>
    <pivotField numFmtId="164" showAll="0">
      <items count="49">
        <item x="23"/>
        <item x="18"/>
        <item x="16"/>
        <item x="27"/>
        <item x="40"/>
        <item x="12"/>
        <item x="39"/>
        <item x="43"/>
        <item x="33"/>
        <item x="6"/>
        <item x="45"/>
        <item x="30"/>
        <item x="28"/>
        <item x="3"/>
        <item x="8"/>
        <item x="36"/>
        <item x="17"/>
        <item x="44"/>
        <item x="1"/>
        <item x="42"/>
        <item x="5"/>
        <item x="38"/>
        <item x="10"/>
        <item x="2"/>
        <item x="35"/>
        <item x="0"/>
        <item x="22"/>
        <item x="21"/>
        <item x="4"/>
        <item x="24"/>
        <item x="41"/>
        <item x="32"/>
        <item x="19"/>
        <item x="7"/>
        <item x="20"/>
        <item x="15"/>
        <item x="47"/>
        <item x="26"/>
        <item x="46"/>
        <item x="29"/>
        <item x="34"/>
        <item x="13"/>
        <item x="9"/>
        <item x="25"/>
        <item x="14"/>
        <item x="37"/>
        <item x="31"/>
        <item x="11"/>
        <item t="default"/>
      </items>
    </pivotField>
    <pivotField showAll="0"/>
  </pivotFields>
  <rowFields count="1">
    <field x="6"/>
  </rowFields>
  <rowItems count="4">
    <i>
      <x/>
    </i>
    <i>
      <x v="1"/>
    </i>
    <i>
      <x v="2"/>
    </i>
    <i t="grand">
      <x/>
    </i>
  </rowItems>
  <colItems count="1">
    <i/>
  </colItems>
  <dataFields count="1">
    <dataField name="Sum of Quantity" fld="7"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C695B-15C3-495E-BAEE-2007777C7A8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0" firstHeaderRow="1" firstDataRow="1" firstDataCol="1"/>
  <pivotFields count="10">
    <pivotField showAll="0"/>
    <pivotField showAll="0"/>
    <pivotField showAll="0">
      <items count="5">
        <item x="3"/>
        <item x="0"/>
        <item x="1"/>
        <item x="2"/>
        <item t="default"/>
      </items>
    </pivotField>
    <pivotField axis="axisRow" showAll="0">
      <items count="7">
        <item x="2"/>
        <item x="0"/>
        <item x="4"/>
        <item x="1"/>
        <item x="5"/>
        <item x="3"/>
        <item t="default"/>
      </items>
    </pivotField>
    <pivotField showAll="0"/>
    <pivotField showAll="0"/>
    <pivotField showAll="0">
      <items count="4">
        <item x="0"/>
        <item x="1"/>
        <item x="2"/>
        <item t="default"/>
      </items>
    </pivotField>
    <pivotField showAll="0"/>
    <pivotField numFmtId="164" showAll="0">
      <items count="49">
        <item x="23"/>
        <item x="18"/>
        <item x="16"/>
        <item x="27"/>
        <item x="40"/>
        <item x="12"/>
        <item x="39"/>
        <item x="43"/>
        <item x="33"/>
        <item x="6"/>
        <item x="45"/>
        <item x="30"/>
        <item x="28"/>
        <item x="3"/>
        <item x="8"/>
        <item x="36"/>
        <item x="17"/>
        <item x="44"/>
        <item x="1"/>
        <item x="42"/>
        <item x="5"/>
        <item x="38"/>
        <item x="10"/>
        <item x="2"/>
        <item x="35"/>
        <item x="0"/>
        <item x="22"/>
        <item x="21"/>
        <item x="4"/>
        <item x="24"/>
        <item x="41"/>
        <item x="32"/>
        <item x="19"/>
        <item x="7"/>
        <item x="20"/>
        <item x="15"/>
        <item x="47"/>
        <item x="26"/>
        <item x="46"/>
        <item x="29"/>
        <item x="34"/>
        <item x="13"/>
        <item x="9"/>
        <item x="25"/>
        <item x="14"/>
        <item x="37"/>
        <item x="31"/>
        <item x="11"/>
        <item t="default"/>
      </items>
    </pivotField>
    <pivotField dataField="1" showAll="0"/>
  </pivotFields>
  <rowFields count="1">
    <field x="3"/>
  </rowFields>
  <rowItems count="7">
    <i>
      <x/>
    </i>
    <i>
      <x v="1"/>
    </i>
    <i>
      <x v="2"/>
    </i>
    <i>
      <x v="3"/>
    </i>
    <i>
      <x v="4"/>
    </i>
    <i>
      <x v="5"/>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43F413-4828-4B1F-9115-92815DE856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1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7">
        <item x="2"/>
        <item x="0"/>
        <item x="4"/>
        <item x="1"/>
        <item x="5"/>
        <item x="3"/>
        <item t="default"/>
      </items>
    </pivotField>
    <pivotField showAll="0"/>
    <pivotField showAll="0"/>
    <pivotField showAll="0">
      <items count="4">
        <item x="0"/>
        <item x="1"/>
        <item x="2"/>
        <item t="default"/>
      </items>
    </pivotField>
    <pivotField showAll="0"/>
    <pivotField dataField="1" numFmtId="164" showAll="0">
      <items count="49">
        <item x="23"/>
        <item x="18"/>
        <item x="16"/>
        <item x="27"/>
        <item x="40"/>
        <item x="12"/>
        <item x="39"/>
        <item x="43"/>
        <item x="33"/>
        <item x="6"/>
        <item x="45"/>
        <item x="30"/>
        <item x="28"/>
        <item x="3"/>
        <item x="8"/>
        <item x="36"/>
        <item x="17"/>
        <item x="44"/>
        <item x="1"/>
        <item x="42"/>
        <item x="5"/>
        <item x="38"/>
        <item x="10"/>
        <item x="2"/>
        <item x="35"/>
        <item x="0"/>
        <item x="22"/>
        <item x="21"/>
        <item x="4"/>
        <item x="24"/>
        <item x="41"/>
        <item x="32"/>
        <item x="19"/>
        <item x="7"/>
        <item x="20"/>
        <item x="15"/>
        <item x="47"/>
        <item x="26"/>
        <item x="46"/>
        <item x="29"/>
        <item x="34"/>
        <item x="13"/>
        <item x="9"/>
        <item x="25"/>
        <item x="14"/>
        <item x="37"/>
        <item x="31"/>
        <item x="11"/>
        <item t="default"/>
      </items>
    </pivotField>
    <pivotField showAll="0"/>
  </pivotFields>
  <rowFields count="1">
    <field x="2"/>
  </rowFields>
  <rowItems count="5">
    <i>
      <x v="1"/>
    </i>
    <i>
      <x v="2"/>
    </i>
    <i>
      <x v="3"/>
    </i>
    <i>
      <x/>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29239F-0CA6-444E-BFE0-A445BBCB476E}" sourceName="Region">
  <pivotTables>
    <pivotTable tabId="2" name="PivotTable3"/>
    <pivotTable tabId="2" name="PivotTable1"/>
    <pivotTable tabId="2" name="PivotTable2"/>
    <pivotTable tabId="2" name="PivotTable4"/>
  </pivotTables>
  <data>
    <tabular pivotCacheId="192624216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724121-CFFB-404B-BC84-EB59679FE038}" sourceName="Category">
  <pivotTables>
    <pivotTable tabId="2" name="PivotTable3"/>
    <pivotTable tabId="2" name="PivotTable1"/>
    <pivotTable tabId="2" name="PivotTable2"/>
    <pivotTable tabId="2" name="PivotTable4"/>
  </pivotTables>
  <data>
    <tabular pivotCacheId="1926242163">
      <items count="6">
        <i x="2" s="1"/>
        <i x="0" s="1"/>
        <i x="4"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05521DD-96E6-43FC-8C63-45A1F6806E4B}" sourceName="Payment_Mode">
  <pivotTables>
    <pivotTable tabId="2" name="PivotTable3"/>
    <pivotTable tabId="2" name="PivotTable1"/>
    <pivotTable tabId="2" name="PivotTable2"/>
    <pivotTable tabId="2" name="PivotTable4"/>
  </pivotTables>
  <data>
    <tabular pivotCacheId="19262421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DB94BB-F326-423C-B07B-5EB2D1EE6E44}" cache="Slicer_Region" caption="Region" rowHeight="234950"/>
  <slicer name="Category" xr10:uid="{73CC7250-CE43-4786-9B03-239F05492CF2}" cache="Slicer_Category" caption="Category" rowHeight="234950"/>
  <slicer name="Payment_Mode" xr10:uid="{3A544F60-F7D0-404C-A8CB-7A7C60E79C6B}" cache="Slicer_Payment_Mode" caption="Payment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DB59BDD-A7C2-416F-9FCF-F4B5A7750290}" cache="Slicer_Region" caption="Region" columnCount="2" rowHeight="234950"/>
  <slicer name="Category 1" xr10:uid="{3935BCE6-9067-41E1-9CFD-BF0258D502AB}" cache="Slicer_Category" caption="Category" rowHeight="234950"/>
  <slicer name="Payment_Mode 1" xr10:uid="{D796DA06-640F-4EAA-813A-F44E2683B1B9}" cache="Slicer_Payment_Mode" caption="Payment_Mod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2EE387-89C4-4CEE-91A7-9CFDD7C378A4}" name="Table1" displayName="Table1" ref="A1:J51" totalsRowShown="0" headerRowDxfId="2">
  <autoFilter ref="A1:J51" xr:uid="{D92EE387-89C4-4CEE-91A7-9CFDD7C378A4}"/>
  <tableColumns count="10">
    <tableColumn id="1" xr3:uid="{17EC2CCD-98DD-4933-ADAB-389167B297FE}" name="Order_ID"/>
    <tableColumn id="2" xr3:uid="{26740231-1DDE-400F-9595-ECB547C273C7}" name="Order_Date" dataDxfId="1"/>
    <tableColumn id="3" xr3:uid="{0E380D78-89AC-4D3E-85ED-CBAE8F59C591}" name="Region"/>
    <tableColumn id="4" xr3:uid="{3197A1CD-7D94-4425-8FCB-C4FEB41878BA}" name="Category"/>
    <tableColumn id="5" xr3:uid="{DB852EF2-51D9-4A3D-BAAA-D4EC984BE803}" name="Product_Name"/>
    <tableColumn id="6" xr3:uid="{E43466BE-F239-47C6-8482-9781877DD611}" name="Salesperson"/>
    <tableColumn id="7" xr3:uid="{A9234A8D-4EEC-419E-9F57-2BD17510C683}" name="Payment_Mode"/>
    <tableColumn id="8" xr3:uid="{755DFC32-31F9-44C3-893F-CFCDD87E890C}" name="Quantity"/>
    <tableColumn id="9" xr3:uid="{209402D4-FCFD-4FEB-8733-0723174F1E9D}" name="Sales_Amount" dataDxfId="0" dataCellStyle="Currency"/>
    <tableColumn id="10" xr3:uid="{AF938ADB-FF34-4F51-ADA9-CAF459602220}" name="Profi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70A9-B9E3-43EA-A23D-B96BE9B7F356}">
  <dimension ref="A1:K10"/>
  <sheetViews>
    <sheetView tabSelected="1" workbookViewId="0">
      <selection activeCell="K6" sqref="K6"/>
    </sheetView>
  </sheetViews>
  <sheetFormatPr defaultRowHeight="14.4" x14ac:dyDescent="0.3"/>
  <cols>
    <col min="1" max="1" width="12.5546875" bestFit="1" customWidth="1"/>
    <col min="2" max="2" width="19.77734375" bestFit="1" customWidth="1"/>
    <col min="3" max="3" width="6.33203125" bestFit="1" customWidth="1"/>
    <col min="4" max="4" width="12.5546875" bestFit="1" customWidth="1"/>
    <col min="5" max="5" width="12.109375" bestFit="1" customWidth="1"/>
    <col min="6" max="6" width="6.33203125" bestFit="1" customWidth="1"/>
    <col min="7" max="7" width="12.5546875" bestFit="1" customWidth="1"/>
    <col min="8" max="8" width="14.88671875" bestFit="1" customWidth="1"/>
    <col min="9" max="9" width="6.33203125" bestFit="1" customWidth="1"/>
    <col min="10" max="10" width="12.5546875" bestFit="1" customWidth="1"/>
    <col min="11" max="11" width="19.77734375" bestFit="1" customWidth="1"/>
    <col min="12" max="49" width="7.88671875" bestFit="1" customWidth="1"/>
    <col min="50" max="50" width="12.109375" bestFit="1" customWidth="1"/>
  </cols>
  <sheetData>
    <row r="1" spans="1:11" x14ac:dyDescent="0.3">
      <c r="A1" s="12" t="s">
        <v>139</v>
      </c>
      <c r="B1" s="13"/>
      <c r="D1" s="12" t="s">
        <v>140</v>
      </c>
      <c r="E1" s="13"/>
      <c r="G1" s="12" t="s">
        <v>142</v>
      </c>
      <c r="H1" s="13"/>
      <c r="J1" s="12" t="s">
        <v>144</v>
      </c>
      <c r="K1" s="13"/>
    </row>
    <row r="3" spans="1:11" x14ac:dyDescent="0.3">
      <c r="A3" s="7" t="s">
        <v>136</v>
      </c>
      <c r="B3" t="s">
        <v>138</v>
      </c>
      <c r="D3" s="7" t="s">
        <v>136</v>
      </c>
      <c r="E3" t="s">
        <v>141</v>
      </c>
      <c r="G3" s="7" t="s">
        <v>136</v>
      </c>
      <c r="H3" t="s">
        <v>143</v>
      </c>
      <c r="J3" s="7" t="s">
        <v>136</v>
      </c>
      <c r="K3" t="s">
        <v>138</v>
      </c>
    </row>
    <row r="4" spans="1:11" x14ac:dyDescent="0.3">
      <c r="A4" s="8" t="s">
        <v>12</v>
      </c>
      <c r="B4" s="9">
        <v>31097</v>
      </c>
      <c r="D4" s="8" t="s">
        <v>25</v>
      </c>
      <c r="E4" s="9">
        <v>3642.19</v>
      </c>
      <c r="G4" s="8" t="s">
        <v>16</v>
      </c>
      <c r="H4" s="9">
        <v>138</v>
      </c>
      <c r="J4" s="8" t="s">
        <v>22</v>
      </c>
      <c r="K4" s="9">
        <v>21477</v>
      </c>
    </row>
    <row r="5" spans="1:11" x14ac:dyDescent="0.3">
      <c r="A5" s="8" t="s">
        <v>19</v>
      </c>
      <c r="B5" s="9">
        <v>25729</v>
      </c>
      <c r="D5" s="8" t="s">
        <v>13</v>
      </c>
      <c r="E5" s="9">
        <v>3760.8100000000004</v>
      </c>
      <c r="G5" s="8" t="s">
        <v>33</v>
      </c>
      <c r="H5" s="9">
        <v>53</v>
      </c>
      <c r="J5" s="8" t="s">
        <v>27</v>
      </c>
      <c r="K5" s="9">
        <v>19903</v>
      </c>
    </row>
    <row r="6" spans="1:11" x14ac:dyDescent="0.3">
      <c r="A6" s="8" t="s">
        <v>30</v>
      </c>
      <c r="B6" s="9">
        <v>21480</v>
      </c>
      <c r="D6" s="8" t="s">
        <v>36</v>
      </c>
      <c r="E6" s="9">
        <v>1686.8700000000001</v>
      </c>
      <c r="G6" s="8" t="s">
        <v>44</v>
      </c>
      <c r="H6" s="9">
        <v>69</v>
      </c>
      <c r="J6" s="8" t="s">
        <v>38</v>
      </c>
      <c r="K6" s="9">
        <v>19543</v>
      </c>
    </row>
    <row r="7" spans="1:11" x14ac:dyDescent="0.3">
      <c r="A7" s="8" t="s">
        <v>62</v>
      </c>
      <c r="B7" s="9">
        <v>15553</v>
      </c>
      <c r="D7" s="8" t="s">
        <v>20</v>
      </c>
      <c r="E7" s="9">
        <v>3297.0200000000004</v>
      </c>
      <c r="G7" s="8" t="s">
        <v>137</v>
      </c>
      <c r="H7" s="9">
        <v>260</v>
      </c>
      <c r="J7" s="8" t="s">
        <v>52</v>
      </c>
      <c r="K7" s="9">
        <v>14172</v>
      </c>
    </row>
    <row r="8" spans="1:11" x14ac:dyDescent="0.3">
      <c r="A8" s="8" t="s">
        <v>137</v>
      </c>
      <c r="B8" s="9">
        <v>93859</v>
      </c>
      <c r="D8" s="8" t="s">
        <v>130</v>
      </c>
      <c r="E8" s="9">
        <v>309.81</v>
      </c>
      <c r="J8" s="8" t="s">
        <v>32</v>
      </c>
      <c r="K8" s="9">
        <v>13848</v>
      </c>
    </row>
    <row r="9" spans="1:11" x14ac:dyDescent="0.3">
      <c r="D9" s="8" t="s">
        <v>31</v>
      </c>
      <c r="E9" s="9">
        <v>2559.3300000000004</v>
      </c>
      <c r="J9" s="8" t="s">
        <v>137</v>
      </c>
      <c r="K9" s="9">
        <v>88943</v>
      </c>
    </row>
    <row r="10" spans="1:11" x14ac:dyDescent="0.3">
      <c r="D10" s="8" t="s">
        <v>137</v>
      </c>
      <c r="E10" s="9">
        <v>15256.03</v>
      </c>
    </row>
  </sheetData>
  <mergeCells count="4">
    <mergeCell ref="A1:B1"/>
    <mergeCell ref="D1:E1"/>
    <mergeCell ref="G1:H1"/>
    <mergeCell ref="J1:K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51A9-1EF7-48C9-BB8B-70BFA176E480}">
  <dimension ref="A1"/>
  <sheetViews>
    <sheetView showGridLines="0" workbookViewId="0">
      <selection activeCell="O19" sqref="O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workbookViewId="0">
      <selection activeCell="B1" sqref="B1:B1048576"/>
    </sheetView>
  </sheetViews>
  <sheetFormatPr defaultRowHeight="14.4" x14ac:dyDescent="0.3"/>
  <cols>
    <col min="1" max="1" width="15" customWidth="1"/>
    <col min="2" max="2" width="15" style="11" customWidth="1"/>
    <col min="3" max="3" width="12" customWidth="1"/>
    <col min="4" max="4" width="18" customWidth="1"/>
    <col min="5" max="5" width="20" customWidth="1"/>
    <col min="6" max="6" width="15" customWidth="1"/>
    <col min="7" max="7" width="16.44140625" customWidth="1"/>
    <col min="8" max="8" width="10.21875" customWidth="1"/>
    <col min="9" max="9" width="15" style="3" customWidth="1"/>
    <col min="10" max="10" width="12" customWidth="1"/>
    <col min="12" max="12" width="21.33203125" customWidth="1"/>
    <col min="13" max="13" width="11.109375" bestFit="1" customWidth="1"/>
  </cols>
  <sheetData>
    <row r="1" spans="1:13" x14ac:dyDescent="0.3">
      <c r="A1" s="1" t="s">
        <v>0</v>
      </c>
      <c r="B1" s="10" t="s">
        <v>1</v>
      </c>
      <c r="C1" s="1" t="s">
        <v>2</v>
      </c>
      <c r="D1" s="1" t="s">
        <v>3</v>
      </c>
      <c r="E1" s="1" t="s">
        <v>4</v>
      </c>
      <c r="F1" s="1" t="s">
        <v>5</v>
      </c>
      <c r="G1" s="1" t="s">
        <v>6</v>
      </c>
      <c r="H1" s="1" t="s">
        <v>7</v>
      </c>
      <c r="I1" s="2" t="s">
        <v>8</v>
      </c>
      <c r="J1" s="1" t="s">
        <v>9</v>
      </c>
    </row>
    <row r="2" spans="1:13" x14ac:dyDescent="0.3">
      <c r="A2" t="s">
        <v>10</v>
      </c>
      <c r="B2" s="11" t="s">
        <v>11</v>
      </c>
      <c r="C2" t="s">
        <v>12</v>
      </c>
      <c r="D2" t="s">
        <v>13</v>
      </c>
      <c r="E2" t="s">
        <v>14</v>
      </c>
      <c r="F2" t="s">
        <v>15</v>
      </c>
      <c r="G2" t="s">
        <v>16</v>
      </c>
      <c r="H2">
        <v>10</v>
      </c>
      <c r="I2" s="3">
        <v>2070</v>
      </c>
      <c r="J2">
        <v>414</v>
      </c>
    </row>
    <row r="3" spans="1:13" ht="18" x14ac:dyDescent="0.35">
      <c r="A3" t="s">
        <v>17</v>
      </c>
      <c r="B3" s="11" t="s">
        <v>18</v>
      </c>
      <c r="C3" t="s">
        <v>19</v>
      </c>
      <c r="D3" t="s">
        <v>20</v>
      </c>
      <c r="E3" t="s">
        <v>21</v>
      </c>
      <c r="F3" t="s">
        <v>22</v>
      </c>
      <c r="G3" t="s">
        <v>16</v>
      </c>
      <c r="H3">
        <v>8</v>
      </c>
      <c r="I3" s="3">
        <v>1655</v>
      </c>
      <c r="J3">
        <v>182.05</v>
      </c>
      <c r="L3" s="14" t="s">
        <v>135</v>
      </c>
      <c r="M3" s="15"/>
    </row>
    <row r="4" spans="1:13" x14ac:dyDescent="0.3">
      <c r="A4" t="s">
        <v>23</v>
      </c>
      <c r="B4" s="11" t="s">
        <v>24</v>
      </c>
      <c r="C4" t="s">
        <v>19</v>
      </c>
      <c r="D4" t="s">
        <v>25</v>
      </c>
      <c r="E4" t="s">
        <v>26</v>
      </c>
      <c r="F4" t="s">
        <v>27</v>
      </c>
      <c r="G4" t="s">
        <v>16</v>
      </c>
      <c r="H4">
        <v>1</v>
      </c>
      <c r="I4" s="3">
        <v>1961</v>
      </c>
      <c r="J4">
        <v>254.93</v>
      </c>
      <c r="L4" s="4"/>
      <c r="M4" s="4"/>
    </row>
    <row r="5" spans="1:13" x14ac:dyDescent="0.3">
      <c r="A5" t="s">
        <v>28</v>
      </c>
      <c r="B5" s="11" t="s">
        <v>29</v>
      </c>
      <c r="C5" t="s">
        <v>30</v>
      </c>
      <c r="D5" t="s">
        <v>31</v>
      </c>
      <c r="E5" t="s">
        <v>14</v>
      </c>
      <c r="F5" t="s">
        <v>32</v>
      </c>
      <c r="G5" t="s">
        <v>33</v>
      </c>
      <c r="H5">
        <v>2</v>
      </c>
      <c r="I5" s="3">
        <v>1310</v>
      </c>
      <c r="J5">
        <v>131</v>
      </c>
      <c r="L5" s="4" t="s">
        <v>132</v>
      </c>
      <c r="M5" s="5">
        <f>SUM(Table1[Sales_Amount])</f>
        <v>93859</v>
      </c>
    </row>
    <row r="6" spans="1:13" x14ac:dyDescent="0.3">
      <c r="A6" t="s">
        <v>34</v>
      </c>
      <c r="B6" s="11" t="s">
        <v>35</v>
      </c>
      <c r="C6" t="s">
        <v>30</v>
      </c>
      <c r="D6" t="s">
        <v>36</v>
      </c>
      <c r="E6" t="s">
        <v>37</v>
      </c>
      <c r="F6" t="s">
        <v>38</v>
      </c>
      <c r="G6" t="s">
        <v>16</v>
      </c>
      <c r="H6">
        <v>1</v>
      </c>
      <c r="I6" s="3">
        <v>2282</v>
      </c>
      <c r="J6">
        <v>570.5</v>
      </c>
      <c r="L6" s="4"/>
      <c r="M6" s="4"/>
    </row>
    <row r="7" spans="1:13" x14ac:dyDescent="0.3">
      <c r="A7" t="s">
        <v>39</v>
      </c>
      <c r="B7" s="11" t="s">
        <v>40</v>
      </c>
      <c r="C7" t="s">
        <v>30</v>
      </c>
      <c r="D7" t="s">
        <v>13</v>
      </c>
      <c r="E7" t="s">
        <v>14</v>
      </c>
      <c r="F7" t="s">
        <v>27</v>
      </c>
      <c r="G7" t="s">
        <v>33</v>
      </c>
      <c r="H7">
        <v>6</v>
      </c>
      <c r="I7" s="3">
        <v>1850</v>
      </c>
      <c r="J7">
        <v>388.5</v>
      </c>
      <c r="L7" s="4" t="s">
        <v>133</v>
      </c>
      <c r="M7" s="6">
        <f>SUM(Table1[Profit])</f>
        <v>15256.029999999995</v>
      </c>
    </row>
    <row r="8" spans="1:13" x14ac:dyDescent="0.3">
      <c r="A8" t="s">
        <v>41</v>
      </c>
      <c r="B8" s="11" t="s">
        <v>42</v>
      </c>
      <c r="C8" t="s">
        <v>19</v>
      </c>
      <c r="D8" t="s">
        <v>31</v>
      </c>
      <c r="E8" t="s">
        <v>43</v>
      </c>
      <c r="F8" t="s">
        <v>38</v>
      </c>
      <c r="G8" t="s">
        <v>44</v>
      </c>
      <c r="H8">
        <v>2</v>
      </c>
      <c r="I8" s="3">
        <v>1113</v>
      </c>
      <c r="J8">
        <v>100.17</v>
      </c>
      <c r="L8" s="4"/>
      <c r="M8" s="4"/>
    </row>
    <row r="9" spans="1:13" x14ac:dyDescent="0.3">
      <c r="A9" t="s">
        <v>45</v>
      </c>
      <c r="B9" s="11" t="s">
        <v>46</v>
      </c>
      <c r="C9" t="s">
        <v>12</v>
      </c>
      <c r="D9" t="s">
        <v>31</v>
      </c>
      <c r="E9" t="s">
        <v>47</v>
      </c>
      <c r="F9" t="s">
        <v>22</v>
      </c>
      <c r="G9" t="s">
        <v>44</v>
      </c>
      <c r="H9">
        <v>4</v>
      </c>
      <c r="I9" s="3">
        <v>2654</v>
      </c>
      <c r="J9">
        <v>451.18</v>
      </c>
      <c r="L9" s="4" t="s">
        <v>134</v>
      </c>
      <c r="M9" s="4">
        <f>SUM(Table1[Quantity])</f>
        <v>260</v>
      </c>
    </row>
    <row r="10" spans="1:13" x14ac:dyDescent="0.3">
      <c r="A10" t="s">
        <v>48</v>
      </c>
      <c r="B10" s="11" t="s">
        <v>49</v>
      </c>
      <c r="C10" t="s">
        <v>30</v>
      </c>
      <c r="D10" t="s">
        <v>130</v>
      </c>
      <c r="E10" t="s">
        <v>47</v>
      </c>
      <c r="F10" t="s">
        <v>38</v>
      </c>
      <c r="G10" t="s">
        <v>44</v>
      </c>
      <c r="H10">
        <v>6</v>
      </c>
      <c r="I10" s="3">
        <v>1347</v>
      </c>
      <c r="J10">
        <v>309.81</v>
      </c>
    </row>
    <row r="11" spans="1:13" x14ac:dyDescent="0.3">
      <c r="A11" t="s">
        <v>50</v>
      </c>
      <c r="B11" s="11" t="s">
        <v>51</v>
      </c>
      <c r="C11" t="s">
        <v>12</v>
      </c>
      <c r="D11" t="s">
        <v>25</v>
      </c>
      <c r="E11" t="s">
        <v>21</v>
      </c>
      <c r="F11" t="s">
        <v>52</v>
      </c>
      <c r="G11" t="s">
        <v>16</v>
      </c>
      <c r="H11">
        <v>10</v>
      </c>
      <c r="I11" s="3">
        <v>2860</v>
      </c>
      <c r="J11">
        <v>286</v>
      </c>
    </row>
    <row r="12" spans="1:13" x14ac:dyDescent="0.3">
      <c r="A12" t="s">
        <v>53</v>
      </c>
      <c r="B12" s="11" t="s">
        <v>54</v>
      </c>
      <c r="C12" t="s">
        <v>19</v>
      </c>
      <c r="D12" t="s">
        <v>36</v>
      </c>
      <c r="E12" t="s">
        <v>37</v>
      </c>
      <c r="F12" t="s">
        <v>52</v>
      </c>
      <c r="G12" t="s">
        <v>16</v>
      </c>
      <c r="H12">
        <v>4</v>
      </c>
      <c r="I12" s="3">
        <v>1891</v>
      </c>
      <c r="J12">
        <v>340.38</v>
      </c>
    </row>
    <row r="13" spans="1:13" x14ac:dyDescent="0.3">
      <c r="A13" t="s">
        <v>55</v>
      </c>
      <c r="B13" s="11" t="s">
        <v>56</v>
      </c>
      <c r="C13" t="s">
        <v>19</v>
      </c>
      <c r="D13" t="s">
        <v>13</v>
      </c>
      <c r="E13" t="s">
        <v>14</v>
      </c>
      <c r="F13" t="s">
        <v>32</v>
      </c>
      <c r="G13" t="s">
        <v>44</v>
      </c>
      <c r="H13">
        <v>4</v>
      </c>
      <c r="I13" s="3">
        <v>2996</v>
      </c>
      <c r="J13">
        <v>449.4</v>
      </c>
    </row>
    <row r="14" spans="1:13" x14ac:dyDescent="0.3">
      <c r="A14" t="s">
        <v>57</v>
      </c>
      <c r="B14" s="11" t="s">
        <v>58</v>
      </c>
      <c r="C14" t="s">
        <v>30</v>
      </c>
      <c r="D14" t="s">
        <v>36</v>
      </c>
      <c r="E14" t="s">
        <v>59</v>
      </c>
      <c r="F14" t="s">
        <v>27</v>
      </c>
      <c r="G14" t="s">
        <v>16</v>
      </c>
      <c r="H14">
        <v>1</v>
      </c>
      <c r="I14" s="3">
        <v>831</v>
      </c>
      <c r="J14">
        <v>191.13</v>
      </c>
    </row>
    <row r="15" spans="1:13" x14ac:dyDescent="0.3">
      <c r="A15" t="s">
        <v>60</v>
      </c>
      <c r="B15" s="11" t="s">
        <v>61</v>
      </c>
      <c r="C15" t="s">
        <v>62</v>
      </c>
      <c r="D15" t="s">
        <v>20</v>
      </c>
      <c r="E15" t="s">
        <v>26</v>
      </c>
      <c r="F15" t="s">
        <v>131</v>
      </c>
      <c r="G15" t="s">
        <v>16</v>
      </c>
      <c r="H15">
        <v>10</v>
      </c>
      <c r="I15" s="3">
        <v>2846</v>
      </c>
      <c r="J15">
        <v>512.28</v>
      </c>
    </row>
    <row r="16" spans="1:13" x14ac:dyDescent="0.3">
      <c r="A16" t="s">
        <v>63</v>
      </c>
      <c r="B16" s="11" t="s">
        <v>64</v>
      </c>
      <c r="C16" t="s">
        <v>19</v>
      </c>
      <c r="D16" t="s">
        <v>31</v>
      </c>
      <c r="E16" t="s">
        <v>65</v>
      </c>
      <c r="F16" t="s">
        <v>52</v>
      </c>
      <c r="G16" t="s">
        <v>16</v>
      </c>
      <c r="H16">
        <v>8</v>
      </c>
      <c r="I16" s="3">
        <v>2888</v>
      </c>
      <c r="J16">
        <v>462.08</v>
      </c>
    </row>
    <row r="17" spans="1:10" x14ac:dyDescent="0.3">
      <c r="A17" t="s">
        <v>66</v>
      </c>
      <c r="B17" s="11" t="s">
        <v>67</v>
      </c>
      <c r="C17" t="s">
        <v>30</v>
      </c>
      <c r="D17" t="s">
        <v>25</v>
      </c>
      <c r="E17" t="s">
        <v>26</v>
      </c>
      <c r="F17" t="s">
        <v>52</v>
      </c>
      <c r="G17" t="s">
        <v>44</v>
      </c>
      <c r="H17">
        <v>1</v>
      </c>
      <c r="I17" s="3">
        <v>2669</v>
      </c>
      <c r="J17">
        <v>133.44999999999999</v>
      </c>
    </row>
    <row r="18" spans="1:10" x14ac:dyDescent="0.3">
      <c r="A18" t="s">
        <v>68</v>
      </c>
      <c r="B18" s="11" t="s">
        <v>69</v>
      </c>
      <c r="C18" t="s">
        <v>19</v>
      </c>
      <c r="D18" t="s">
        <v>20</v>
      </c>
      <c r="E18" t="s">
        <v>70</v>
      </c>
      <c r="F18" t="s">
        <v>38</v>
      </c>
      <c r="G18" t="s">
        <v>33</v>
      </c>
      <c r="H18">
        <v>3</v>
      </c>
      <c r="I18" s="3">
        <v>734</v>
      </c>
      <c r="J18">
        <v>183.5</v>
      </c>
    </row>
    <row r="19" spans="1:10" x14ac:dyDescent="0.3">
      <c r="A19" t="s">
        <v>71</v>
      </c>
      <c r="B19" s="11" t="s">
        <v>49</v>
      </c>
      <c r="C19" t="s">
        <v>30</v>
      </c>
      <c r="D19" t="s">
        <v>36</v>
      </c>
      <c r="E19" t="s">
        <v>47</v>
      </c>
      <c r="F19" t="s">
        <v>22</v>
      </c>
      <c r="G19" t="s">
        <v>16</v>
      </c>
      <c r="H19">
        <v>8</v>
      </c>
      <c r="I19" s="3">
        <v>1512</v>
      </c>
      <c r="J19">
        <v>105.84</v>
      </c>
    </row>
    <row r="20" spans="1:10" x14ac:dyDescent="0.3">
      <c r="A20" t="s">
        <v>72</v>
      </c>
      <c r="B20" s="11" t="s">
        <v>73</v>
      </c>
      <c r="C20" t="s">
        <v>12</v>
      </c>
      <c r="D20" t="s">
        <v>36</v>
      </c>
      <c r="E20" t="s">
        <v>70</v>
      </c>
      <c r="F20" t="s">
        <v>27</v>
      </c>
      <c r="G20" t="s">
        <v>44</v>
      </c>
      <c r="H20">
        <v>5</v>
      </c>
      <c r="I20" s="3">
        <v>144</v>
      </c>
      <c r="J20">
        <v>14.4</v>
      </c>
    </row>
    <row r="21" spans="1:10" x14ac:dyDescent="0.3">
      <c r="A21" t="s">
        <v>74</v>
      </c>
      <c r="B21" s="11" t="s">
        <v>75</v>
      </c>
      <c r="C21" t="s">
        <v>12</v>
      </c>
      <c r="D21" t="s">
        <v>25</v>
      </c>
      <c r="E21" t="s">
        <v>59</v>
      </c>
      <c r="F21" t="s">
        <v>38</v>
      </c>
      <c r="G21" t="s">
        <v>16</v>
      </c>
      <c r="H21">
        <v>10</v>
      </c>
      <c r="I21" s="3">
        <v>2460</v>
      </c>
      <c r="J21">
        <v>516.6</v>
      </c>
    </row>
    <row r="22" spans="1:10" x14ac:dyDescent="0.3">
      <c r="A22" t="s">
        <v>76</v>
      </c>
      <c r="B22" s="11" t="s">
        <v>73</v>
      </c>
      <c r="C22" t="s">
        <v>12</v>
      </c>
      <c r="D22" t="s">
        <v>25</v>
      </c>
      <c r="E22" t="s">
        <v>65</v>
      </c>
      <c r="F22" t="s">
        <v>32</v>
      </c>
      <c r="G22" t="s">
        <v>16</v>
      </c>
      <c r="H22">
        <v>4</v>
      </c>
      <c r="I22" s="3">
        <v>2658</v>
      </c>
      <c r="J22">
        <v>558.17999999999995</v>
      </c>
    </row>
    <row r="23" spans="1:10" x14ac:dyDescent="0.3">
      <c r="A23" t="s">
        <v>77</v>
      </c>
      <c r="B23" s="11" t="s">
        <v>78</v>
      </c>
      <c r="C23" t="s">
        <v>62</v>
      </c>
      <c r="D23" t="s">
        <v>25</v>
      </c>
      <c r="E23" t="s">
        <v>43</v>
      </c>
      <c r="F23" t="s">
        <v>27</v>
      </c>
      <c r="G23" t="s">
        <v>33</v>
      </c>
      <c r="H23">
        <v>2</v>
      </c>
      <c r="I23" s="3">
        <v>2163</v>
      </c>
      <c r="J23">
        <v>475.86</v>
      </c>
    </row>
    <row r="24" spans="1:10" x14ac:dyDescent="0.3">
      <c r="A24" t="s">
        <v>79</v>
      </c>
      <c r="B24" s="11" t="s">
        <v>80</v>
      </c>
      <c r="C24" t="s">
        <v>62</v>
      </c>
      <c r="D24" t="s">
        <v>20</v>
      </c>
      <c r="E24" t="s">
        <v>65</v>
      </c>
      <c r="F24" t="s">
        <v>27</v>
      </c>
      <c r="G24" t="s">
        <v>44</v>
      </c>
      <c r="H24">
        <v>2</v>
      </c>
      <c r="I24" s="3">
        <v>2155</v>
      </c>
      <c r="J24">
        <v>538.75</v>
      </c>
    </row>
    <row r="25" spans="1:10" x14ac:dyDescent="0.3">
      <c r="A25" t="s">
        <v>81</v>
      </c>
      <c r="B25" s="11" t="s">
        <v>82</v>
      </c>
      <c r="C25" t="s">
        <v>62</v>
      </c>
      <c r="D25" t="s">
        <v>25</v>
      </c>
      <c r="E25" t="s">
        <v>21</v>
      </c>
      <c r="F25" t="s">
        <v>38</v>
      </c>
      <c r="G25" t="s">
        <v>44</v>
      </c>
      <c r="H25">
        <v>4</v>
      </c>
      <c r="I25" s="3">
        <v>0</v>
      </c>
      <c r="J25">
        <v>191.73</v>
      </c>
    </row>
    <row r="26" spans="1:10" x14ac:dyDescent="0.3">
      <c r="A26" t="s">
        <v>83</v>
      </c>
      <c r="B26" s="11" t="s">
        <v>84</v>
      </c>
      <c r="C26" t="s">
        <v>12</v>
      </c>
      <c r="D26" t="s">
        <v>13</v>
      </c>
      <c r="E26" t="s">
        <v>85</v>
      </c>
      <c r="F26" t="s">
        <v>22</v>
      </c>
      <c r="G26" t="s">
        <v>16</v>
      </c>
      <c r="H26">
        <v>10</v>
      </c>
      <c r="I26" s="3">
        <v>2302</v>
      </c>
      <c r="J26">
        <v>460.4</v>
      </c>
    </row>
    <row r="27" spans="1:10" x14ac:dyDescent="0.3">
      <c r="A27" t="s">
        <v>86</v>
      </c>
      <c r="B27" s="11" t="s">
        <v>87</v>
      </c>
      <c r="C27" t="s">
        <v>12</v>
      </c>
      <c r="D27" t="s">
        <v>31</v>
      </c>
      <c r="E27" t="s">
        <v>65</v>
      </c>
      <c r="F27" t="s">
        <v>22</v>
      </c>
      <c r="G27" t="s">
        <v>44</v>
      </c>
      <c r="H27">
        <v>3</v>
      </c>
      <c r="I27" s="3">
        <v>2868</v>
      </c>
      <c r="J27">
        <v>630.96</v>
      </c>
    </row>
    <row r="28" spans="1:10" x14ac:dyDescent="0.3">
      <c r="A28" t="s">
        <v>88</v>
      </c>
      <c r="B28" s="11" t="s">
        <v>89</v>
      </c>
      <c r="C28" t="s">
        <v>12</v>
      </c>
      <c r="D28" t="s">
        <v>31</v>
      </c>
      <c r="E28" t="s">
        <v>85</v>
      </c>
      <c r="F28" t="s">
        <v>22</v>
      </c>
      <c r="G28" t="s">
        <v>44</v>
      </c>
      <c r="H28">
        <v>3</v>
      </c>
      <c r="I28" s="3">
        <v>2723</v>
      </c>
      <c r="J28">
        <v>435.68</v>
      </c>
    </row>
    <row r="29" spans="1:10" x14ac:dyDescent="0.3">
      <c r="A29" t="s">
        <v>90</v>
      </c>
      <c r="B29" s="11" t="s">
        <v>91</v>
      </c>
      <c r="C29" t="s">
        <v>62</v>
      </c>
      <c r="D29" t="s">
        <v>25</v>
      </c>
      <c r="E29" t="s">
        <v>65</v>
      </c>
      <c r="F29" t="s">
        <v>38</v>
      </c>
      <c r="G29" t="s">
        <v>16</v>
      </c>
      <c r="H29">
        <v>8</v>
      </c>
      <c r="I29" s="3">
        <v>780</v>
      </c>
      <c r="J29">
        <v>101.4</v>
      </c>
    </row>
    <row r="30" spans="1:10" x14ac:dyDescent="0.3">
      <c r="A30" t="s">
        <v>92</v>
      </c>
      <c r="B30" s="11" t="s">
        <v>93</v>
      </c>
      <c r="C30" t="s">
        <v>62</v>
      </c>
      <c r="D30" t="s">
        <v>25</v>
      </c>
      <c r="E30" t="s">
        <v>47</v>
      </c>
      <c r="F30" t="s">
        <v>27</v>
      </c>
      <c r="G30" t="s">
        <v>33</v>
      </c>
      <c r="H30">
        <v>6</v>
      </c>
      <c r="I30" s="3">
        <v>1266</v>
      </c>
      <c r="J30">
        <v>0</v>
      </c>
    </row>
    <row r="31" spans="1:10" x14ac:dyDescent="0.3">
      <c r="A31" t="s">
        <v>94</v>
      </c>
      <c r="B31" s="11" t="s">
        <v>95</v>
      </c>
      <c r="C31" t="s">
        <v>19</v>
      </c>
      <c r="D31" t="s">
        <v>20</v>
      </c>
      <c r="E31" t="s">
        <v>65</v>
      </c>
      <c r="F31" t="s">
        <v>38</v>
      </c>
      <c r="G31" t="s">
        <v>33</v>
      </c>
      <c r="H31">
        <v>4</v>
      </c>
      <c r="I31" s="3">
        <v>2835</v>
      </c>
      <c r="J31">
        <v>283.5</v>
      </c>
    </row>
    <row r="32" spans="1:10" x14ac:dyDescent="0.3">
      <c r="A32" t="s">
        <v>96</v>
      </c>
      <c r="B32" s="11" t="s">
        <v>35</v>
      </c>
      <c r="C32" t="s">
        <v>12</v>
      </c>
      <c r="D32" t="s">
        <v>31</v>
      </c>
      <c r="E32" t="s">
        <v>14</v>
      </c>
      <c r="F32" t="s">
        <v>27</v>
      </c>
      <c r="G32" t="s">
        <v>44</v>
      </c>
      <c r="H32">
        <v>5</v>
      </c>
      <c r="I32" s="3">
        <v>1162</v>
      </c>
      <c r="J32">
        <v>127.82</v>
      </c>
    </row>
    <row r="33" spans="1:10" x14ac:dyDescent="0.3">
      <c r="A33" t="s">
        <v>97</v>
      </c>
      <c r="B33" s="11" t="s">
        <v>98</v>
      </c>
      <c r="C33" t="s">
        <v>19</v>
      </c>
      <c r="D33" t="s">
        <v>13</v>
      </c>
      <c r="E33" t="s">
        <v>59</v>
      </c>
      <c r="F33" t="s">
        <v>22</v>
      </c>
      <c r="G33" t="s">
        <v>33</v>
      </c>
      <c r="H33">
        <v>2</v>
      </c>
      <c r="I33" s="3">
        <v>2963</v>
      </c>
      <c r="J33">
        <v>533.34</v>
      </c>
    </row>
    <row r="34" spans="1:10" x14ac:dyDescent="0.3">
      <c r="A34" t="s">
        <v>99</v>
      </c>
      <c r="B34" s="11" t="s">
        <v>100</v>
      </c>
      <c r="C34" t="s">
        <v>30</v>
      </c>
      <c r="D34" t="s">
        <v>13</v>
      </c>
      <c r="E34" t="s">
        <v>14</v>
      </c>
      <c r="F34" t="s">
        <v>32</v>
      </c>
      <c r="G34" t="s">
        <v>33</v>
      </c>
      <c r="H34">
        <v>2</v>
      </c>
      <c r="I34" s="3">
        <v>2435</v>
      </c>
      <c r="J34">
        <v>560.04999999999995</v>
      </c>
    </row>
    <row r="35" spans="1:10" x14ac:dyDescent="0.3">
      <c r="A35" t="s">
        <v>101</v>
      </c>
      <c r="B35" s="11" t="s">
        <v>102</v>
      </c>
      <c r="C35" t="s">
        <v>30</v>
      </c>
      <c r="D35" t="s">
        <v>31</v>
      </c>
      <c r="E35" t="s">
        <v>65</v>
      </c>
      <c r="F35" t="s">
        <v>22</v>
      </c>
      <c r="G35" t="s">
        <v>16</v>
      </c>
      <c r="H35">
        <v>8</v>
      </c>
      <c r="I35" s="3">
        <v>1002</v>
      </c>
      <c r="J35">
        <v>220.44</v>
      </c>
    </row>
    <row r="36" spans="1:10" x14ac:dyDescent="0.3">
      <c r="A36" t="s">
        <v>103</v>
      </c>
      <c r="B36" s="11" t="s">
        <v>104</v>
      </c>
      <c r="C36" t="s">
        <v>30</v>
      </c>
      <c r="D36" t="s">
        <v>36</v>
      </c>
      <c r="E36" t="s">
        <v>65</v>
      </c>
      <c r="F36" t="s">
        <v>38</v>
      </c>
      <c r="G36" t="s">
        <v>44</v>
      </c>
      <c r="H36">
        <v>6</v>
      </c>
      <c r="I36" s="3">
        <v>2840</v>
      </c>
      <c r="J36">
        <v>170.4</v>
      </c>
    </row>
    <row r="37" spans="1:10" x14ac:dyDescent="0.3">
      <c r="A37" t="s">
        <v>105</v>
      </c>
      <c r="B37" s="11" t="s">
        <v>106</v>
      </c>
      <c r="C37" t="s">
        <v>62</v>
      </c>
      <c r="D37" t="s">
        <v>20</v>
      </c>
      <c r="E37" t="s">
        <v>14</v>
      </c>
      <c r="F37" t="s">
        <v>27</v>
      </c>
      <c r="G37" t="s">
        <v>33</v>
      </c>
      <c r="H37">
        <v>5</v>
      </c>
      <c r="I37" s="3">
        <v>1990</v>
      </c>
      <c r="J37">
        <v>417.9</v>
      </c>
    </row>
    <row r="38" spans="1:10" x14ac:dyDescent="0.3">
      <c r="A38" t="s">
        <v>107</v>
      </c>
      <c r="B38" s="11" t="s">
        <v>108</v>
      </c>
      <c r="C38" t="s">
        <v>19</v>
      </c>
      <c r="D38" t="s">
        <v>25</v>
      </c>
      <c r="E38" t="s">
        <v>26</v>
      </c>
      <c r="F38" t="s">
        <v>22</v>
      </c>
      <c r="G38" t="s">
        <v>44</v>
      </c>
      <c r="H38">
        <v>7</v>
      </c>
      <c r="I38" s="3">
        <v>1357</v>
      </c>
      <c r="J38">
        <v>122.13</v>
      </c>
    </row>
    <row r="39" spans="1:10" x14ac:dyDescent="0.3">
      <c r="A39" t="s">
        <v>109</v>
      </c>
      <c r="B39" s="11" t="s">
        <v>110</v>
      </c>
      <c r="C39" t="s">
        <v>12</v>
      </c>
      <c r="D39" t="s">
        <v>20</v>
      </c>
      <c r="E39" t="s">
        <v>85</v>
      </c>
      <c r="F39" t="s">
        <v>32</v>
      </c>
      <c r="G39" t="s">
        <v>44</v>
      </c>
      <c r="H39">
        <v>6</v>
      </c>
      <c r="I39" s="3">
        <v>2907</v>
      </c>
      <c r="J39">
        <v>348.84</v>
      </c>
    </row>
    <row r="40" spans="1:10" x14ac:dyDescent="0.3">
      <c r="A40" t="s">
        <v>111</v>
      </c>
      <c r="B40" s="11" t="s">
        <v>112</v>
      </c>
      <c r="C40" t="s">
        <v>19</v>
      </c>
      <c r="D40" t="s">
        <v>13</v>
      </c>
      <c r="E40" t="s">
        <v>14</v>
      </c>
      <c r="F40" t="s">
        <v>22</v>
      </c>
      <c r="G40" t="s">
        <v>16</v>
      </c>
      <c r="H40">
        <v>9</v>
      </c>
      <c r="I40" s="3">
        <v>1655</v>
      </c>
      <c r="J40">
        <v>347.55</v>
      </c>
    </row>
    <row r="41" spans="1:10" x14ac:dyDescent="0.3">
      <c r="A41" t="s">
        <v>113</v>
      </c>
      <c r="B41" s="11" t="s">
        <v>11</v>
      </c>
      <c r="C41" t="s">
        <v>30</v>
      </c>
      <c r="D41" t="s">
        <v>20</v>
      </c>
      <c r="E41" t="s">
        <v>59</v>
      </c>
      <c r="F41" t="s">
        <v>27</v>
      </c>
      <c r="G41" t="s">
        <v>33</v>
      </c>
      <c r="H41">
        <v>1</v>
      </c>
      <c r="I41" s="3">
        <v>1860</v>
      </c>
      <c r="J41">
        <v>167.4</v>
      </c>
    </row>
    <row r="42" spans="1:10" x14ac:dyDescent="0.3">
      <c r="A42" t="s">
        <v>114</v>
      </c>
      <c r="B42" s="11" t="s">
        <v>115</v>
      </c>
      <c r="C42" t="s">
        <v>12</v>
      </c>
      <c r="D42" t="s">
        <v>36</v>
      </c>
      <c r="E42" t="s">
        <v>59</v>
      </c>
      <c r="F42" t="s">
        <v>27</v>
      </c>
      <c r="G42" t="s">
        <v>16</v>
      </c>
      <c r="H42">
        <v>8</v>
      </c>
      <c r="I42" s="3">
        <v>954</v>
      </c>
      <c r="J42">
        <v>104.94</v>
      </c>
    </row>
    <row r="43" spans="1:10" x14ac:dyDescent="0.3">
      <c r="A43" t="s">
        <v>116</v>
      </c>
      <c r="B43" s="11" t="s">
        <v>117</v>
      </c>
      <c r="C43" t="s">
        <v>62</v>
      </c>
      <c r="D43" t="s">
        <v>13</v>
      </c>
      <c r="E43" t="s">
        <v>85</v>
      </c>
      <c r="F43" t="s">
        <v>22</v>
      </c>
      <c r="G43" t="s">
        <v>33</v>
      </c>
      <c r="H43">
        <v>9</v>
      </c>
      <c r="I43" s="3">
        <v>786</v>
      </c>
      <c r="J43">
        <v>188.64</v>
      </c>
    </row>
    <row r="44" spans="1:10" x14ac:dyDescent="0.3">
      <c r="A44" t="s">
        <v>118</v>
      </c>
      <c r="B44" s="11" t="s">
        <v>119</v>
      </c>
      <c r="C44" t="s">
        <v>12</v>
      </c>
      <c r="D44" t="s">
        <v>25</v>
      </c>
      <c r="E44" t="s">
        <v>43</v>
      </c>
      <c r="F44" t="s">
        <v>38</v>
      </c>
      <c r="G44" t="s">
        <v>33</v>
      </c>
      <c r="H44">
        <v>1</v>
      </c>
      <c r="I44" s="3">
        <v>2365</v>
      </c>
      <c r="J44">
        <v>520.29999999999995</v>
      </c>
    </row>
    <row r="45" spans="1:10" x14ac:dyDescent="0.3">
      <c r="A45" t="s">
        <v>120</v>
      </c>
      <c r="B45" s="11" t="s">
        <v>98</v>
      </c>
      <c r="C45" t="s">
        <v>12</v>
      </c>
      <c r="D45" t="s">
        <v>20</v>
      </c>
      <c r="E45" t="s">
        <v>14</v>
      </c>
      <c r="F45" t="s">
        <v>38</v>
      </c>
      <c r="G45" t="s">
        <v>16</v>
      </c>
      <c r="H45">
        <v>4</v>
      </c>
      <c r="I45" s="3">
        <v>1810</v>
      </c>
      <c r="J45">
        <v>343.9</v>
      </c>
    </row>
    <row r="46" spans="1:10" x14ac:dyDescent="0.3">
      <c r="A46" t="s">
        <v>121</v>
      </c>
      <c r="B46" s="11" t="s">
        <v>122</v>
      </c>
      <c r="C46" t="s">
        <v>19</v>
      </c>
      <c r="D46" t="s">
        <v>13</v>
      </c>
      <c r="E46" t="s">
        <v>37</v>
      </c>
      <c r="F46" t="s">
        <v>38</v>
      </c>
      <c r="G46" t="s">
        <v>44</v>
      </c>
      <c r="H46">
        <v>10</v>
      </c>
      <c r="I46" s="3">
        <v>977</v>
      </c>
      <c r="J46">
        <v>48.85</v>
      </c>
    </row>
    <row r="47" spans="1:10" x14ac:dyDescent="0.3">
      <c r="A47" t="s">
        <v>123</v>
      </c>
      <c r="B47" s="11" t="s">
        <v>112</v>
      </c>
      <c r="C47" t="s">
        <v>30</v>
      </c>
      <c r="D47" t="s">
        <v>13</v>
      </c>
      <c r="E47" t="s">
        <v>37</v>
      </c>
      <c r="F47" t="s">
        <v>32</v>
      </c>
      <c r="G47" t="s">
        <v>16</v>
      </c>
      <c r="H47">
        <v>5</v>
      </c>
      <c r="I47" s="3">
        <v>1542</v>
      </c>
      <c r="J47">
        <v>370.08</v>
      </c>
    </row>
    <row r="48" spans="1:10" x14ac:dyDescent="0.3">
      <c r="A48" t="s">
        <v>124</v>
      </c>
      <c r="B48" s="11" t="s">
        <v>18</v>
      </c>
      <c r="C48" t="s">
        <v>12</v>
      </c>
      <c r="D48" t="s">
        <v>20</v>
      </c>
      <c r="E48" t="s">
        <v>70</v>
      </c>
      <c r="F48" t="s">
        <v>52</v>
      </c>
      <c r="G48" t="s">
        <v>44</v>
      </c>
      <c r="H48">
        <v>1</v>
      </c>
      <c r="I48" s="3">
        <v>1160</v>
      </c>
      <c r="J48">
        <v>208.8</v>
      </c>
    </row>
    <row r="49" spans="1:10" x14ac:dyDescent="0.3">
      <c r="A49" t="s">
        <v>125</v>
      </c>
      <c r="B49" s="11" t="s">
        <v>126</v>
      </c>
      <c r="C49" t="s">
        <v>62</v>
      </c>
      <c r="D49" t="s">
        <v>25</v>
      </c>
      <c r="E49" t="s">
        <v>47</v>
      </c>
      <c r="F49" t="s">
        <v>27</v>
      </c>
      <c r="G49" t="s">
        <v>16</v>
      </c>
      <c r="H49">
        <v>9</v>
      </c>
      <c r="I49" s="3">
        <v>2833</v>
      </c>
      <c r="J49">
        <v>481.61</v>
      </c>
    </row>
    <row r="50" spans="1:10" x14ac:dyDescent="0.3">
      <c r="A50" t="s">
        <v>127</v>
      </c>
      <c r="B50" s="11" t="s">
        <v>42</v>
      </c>
      <c r="C50" t="s">
        <v>62</v>
      </c>
      <c r="D50" t="s">
        <v>20</v>
      </c>
      <c r="E50" t="s">
        <v>47</v>
      </c>
      <c r="F50" t="s">
        <v>27</v>
      </c>
      <c r="G50" t="s">
        <v>16</v>
      </c>
      <c r="H50">
        <v>2</v>
      </c>
      <c r="I50" s="3">
        <v>734</v>
      </c>
      <c r="J50">
        <v>110.1</v>
      </c>
    </row>
    <row r="51" spans="1:10" x14ac:dyDescent="0.3">
      <c r="A51" t="s">
        <v>128</v>
      </c>
      <c r="B51" s="11" t="s">
        <v>129</v>
      </c>
      <c r="C51" t="s">
        <v>19</v>
      </c>
      <c r="D51" t="s">
        <v>36</v>
      </c>
      <c r="E51" t="s">
        <v>37</v>
      </c>
      <c r="F51" t="s">
        <v>52</v>
      </c>
      <c r="G51" t="s">
        <v>33</v>
      </c>
      <c r="H51">
        <v>10</v>
      </c>
      <c r="I51" s="3">
        <v>2704</v>
      </c>
      <c r="J51">
        <v>189.28</v>
      </c>
    </row>
    <row r="52" spans="1:10" x14ac:dyDescent="0.3">
      <c r="I52"/>
    </row>
    <row r="53" spans="1:10" x14ac:dyDescent="0.3">
      <c r="I53"/>
    </row>
  </sheetData>
  <mergeCells count="1">
    <mergeCell ref="L3:M3"/>
  </mergeCells>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jaswinder gill</cp:lastModifiedBy>
  <dcterms:created xsi:type="dcterms:W3CDTF">2026-05-26T09:16:26Z</dcterms:created>
  <dcterms:modified xsi:type="dcterms:W3CDTF">2026-08-30T22:31:10Z</dcterms:modified>
</cp:coreProperties>
</file>